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mc:AlternateContent xmlns:mc="http://schemas.openxmlformats.org/markup-compatibility/2006">
    <mc:Choice Requires="x15">
      <x15ac:absPath xmlns:x15ac="http://schemas.microsoft.com/office/spreadsheetml/2010/11/ac" url="G:\02. Rent Schedules\North Lodge\2023 Rent Schedule\"/>
    </mc:Choice>
  </mc:AlternateContent>
  <xr:revisionPtr revIDLastSave="0" documentId="8_{0FADEE17-E2AC-46A4-A993-F0E8B57B992F}" xr6:coauthVersionLast="47" xr6:coauthVersionMax="47" xr10:uidLastSave="{00000000-0000-0000-0000-000000000000}"/>
  <bookViews>
    <workbookView xWindow="7770" yWindow="0" windowWidth="21135" windowHeight="15585" xr2:uid="{00000000-000D-0000-FFFF-FFFF00000000}"/>
  </bookViews>
  <sheets>
    <sheet name="Rent Schedule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2" i="1" l="1"/>
  <c r="B17" i="1"/>
  <c r="B9" i="1"/>
  <c r="B8" i="1"/>
  <c r="B18" i="1" s="1"/>
  <c r="B33" i="1" l="1"/>
  <c r="B34" i="1" s="1"/>
  <c r="B38" i="1" s="1"/>
  <c r="D37" i="1"/>
  <c r="D36" i="1"/>
  <c r="E36" i="1" l="1"/>
  <c r="E37" i="1"/>
  <c r="D14" i="1"/>
  <c r="E14" i="1" s="1"/>
  <c r="D13" i="1"/>
  <c r="E13" i="1" s="1"/>
  <c r="D12" i="1"/>
  <c r="E12" i="1" s="1"/>
  <c r="D21" i="1" l="1"/>
  <c r="E21" i="1" s="1"/>
  <c r="D10" i="1"/>
  <c r="E10" i="1" s="1"/>
  <c r="D26" i="1"/>
  <c r="E26" i="1" s="1"/>
  <c r="D16" i="1"/>
  <c r="E16" i="1" s="1"/>
  <c r="D15" i="1"/>
  <c r="E15" i="1" s="1"/>
  <c r="D22" i="1"/>
  <c r="E22" i="1" s="1"/>
  <c r="D11" i="1"/>
  <c r="E11" i="1" s="1"/>
  <c r="D28" i="1" l="1"/>
  <c r="E28" i="1" s="1"/>
  <c r="D25" i="1"/>
  <c r="E25" i="1" s="1"/>
  <c r="D20" i="1"/>
  <c r="E20" i="1" s="1"/>
  <c r="D23" i="1"/>
  <c r="E23" i="1" s="1"/>
  <c r="D29" i="1"/>
  <c r="E29" i="1" s="1"/>
  <c r="D24" i="1" l="1"/>
  <c r="E24" i="1" s="1"/>
  <c r="D30" i="1"/>
  <c r="E30" i="1" s="1"/>
  <c r="D31" i="1"/>
  <c r="E31" i="1" s="1"/>
  <c r="D17" i="1" l="1"/>
  <c r="E17" i="1" s="1"/>
  <c r="D8" i="1"/>
  <c r="E8" i="1" s="1"/>
  <c r="D9" i="1"/>
  <c r="E9" i="1" s="1"/>
  <c r="D6" i="1"/>
  <c r="E6" i="1" s="1"/>
  <c r="D34" i="1" l="1"/>
  <c r="E34" i="1" s="1"/>
  <c r="D33" i="1"/>
  <c r="E33" i="1" s="1"/>
  <c r="E38" i="1" s="1"/>
  <c r="D18" i="1" l="1"/>
  <c r="E1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Patricia Mokhberi</author>
    <author>kevin appleby</author>
    <author>Andrew Bowler</author>
    <author>William Fay</author>
  </authors>
  <commentList>
    <comment ref="A6" authorId="0" shapeId="0" xr:uid="{00000000-0006-0000-0000-000001000000}">
      <text>
        <r>
          <rPr>
            <b/>
            <sz val="9"/>
            <color indexed="81"/>
            <rFont val="Tahoma"/>
            <family val="2"/>
          </rPr>
          <t>Patricia Mokhberi:</t>
        </r>
        <r>
          <rPr>
            <sz val="9"/>
            <color indexed="81"/>
            <rFont val="Tahoma"/>
            <family val="2"/>
          </rPr>
          <t xml:space="preserve">
Lease Cost - increased by CPi plus 1% based on September figures, 1st Monday April annually.</t>
        </r>
      </text>
    </comment>
    <comment ref="A8" authorId="1" shapeId="0" xr:uid="{00000000-0006-0000-0000-000002000000}">
      <text>
        <r>
          <rPr>
            <b/>
            <sz val="9"/>
            <color indexed="81"/>
            <rFont val="Tahoma"/>
            <family val="2"/>
          </rPr>
          <t>Patricia Mokhberi:</t>
        </r>
        <r>
          <rPr>
            <sz val="9"/>
            <color indexed="81"/>
            <rFont val="Tahoma"/>
            <family val="2"/>
          </rPr>
          <t xml:space="preserve">
replacement kitchen, bathroom, windows</t>
        </r>
      </text>
    </comment>
    <comment ref="A9" authorId="1" shapeId="0" xr:uid="{00000000-0006-0000-0000-000003000000}">
      <text>
        <r>
          <rPr>
            <b/>
            <sz val="9"/>
            <color indexed="81"/>
            <rFont val="Tahoma"/>
            <family val="2"/>
          </rPr>
          <t>Patricia Mokhberi:</t>
        </r>
        <r>
          <rPr>
            <sz val="9"/>
            <color indexed="81"/>
            <rFont val="Tahoma"/>
            <family val="2"/>
          </rPr>
          <t xml:space="preserve">
replacement internal / external doors, light fittings, gutters, rainwater pipes
flooring</t>
        </r>
      </text>
    </comment>
    <comment ref="A10" authorId="0" shapeId="0" xr:uid="{00000000-0006-0000-0000-000004000000}">
      <text>
        <r>
          <rPr>
            <b/>
            <sz val="9"/>
            <color indexed="81"/>
            <rFont val="Tahoma"/>
            <family val="2"/>
          </rPr>
          <t>Patricia Mokhberi:</t>
        </r>
        <r>
          <rPr>
            <sz val="9"/>
            <color indexed="81"/>
            <rFont val="Tahoma"/>
            <family val="2"/>
          </rPr>
          <t xml:space="preserve">
Council Tax - Shared House/HMO only</t>
        </r>
      </text>
    </comment>
    <comment ref="A11" authorId="1" shapeId="0" xr:uid="{00000000-0006-0000-0000-000005000000}">
      <text>
        <r>
          <rPr>
            <b/>
            <sz val="9"/>
            <color indexed="81"/>
            <rFont val="Tahoma"/>
            <family val="2"/>
          </rPr>
          <t>Patricia Mokhberi:</t>
        </r>
        <r>
          <rPr>
            <sz val="9"/>
            <color indexed="81"/>
            <rFont val="Tahoma"/>
            <family val="2"/>
          </rPr>
          <t xml:space="preserve">
gas cert
elec cert
pat test
water hygiene test tmv
emergency lighting
lift servicing
access control
fire safety equipment test
lolar test on assistive aids adaptions and technology
fire alarm servicing
boiler servicing
Legionella
Asbestos</t>
        </r>
      </text>
    </comment>
    <comment ref="A12" authorId="0" shapeId="0" xr:uid="{D280B275-1720-41A3-892A-6C63559B7BDE}">
      <text>
        <r>
          <rPr>
            <b/>
            <sz val="9"/>
            <color indexed="81"/>
            <rFont val="Tahoma"/>
            <family val="2"/>
          </rPr>
          <t>Patricia Mokhberi:</t>
        </r>
        <r>
          <rPr>
            <sz val="9"/>
            <color indexed="81"/>
            <rFont val="Tahoma"/>
            <family val="2"/>
          </rPr>
          <t xml:space="preserve">
Central Office Overheads, Utillities, IT, Office Furniture and Equipment, Cleaning, Post. Etc.</t>
        </r>
      </text>
    </comment>
    <comment ref="A13" authorId="0" shapeId="0" xr:uid="{92B97AF7-E174-4F4F-93A9-15EF2373E01C}">
      <text>
        <r>
          <rPr>
            <b/>
            <sz val="9"/>
            <color indexed="81"/>
            <rFont val="Tahoma"/>
            <family val="2"/>
          </rPr>
          <t>Patricia Mokhberi:</t>
        </r>
        <r>
          <rPr>
            <sz val="9"/>
            <color indexed="81"/>
            <rFont val="Tahoma"/>
            <family val="2"/>
          </rPr>
          <t xml:space="preserve">
Central Office Staff Wages, Training, Mileage and Misc. associated costs</t>
        </r>
      </text>
    </comment>
    <comment ref="A14" authorId="0" shapeId="0" xr:uid="{E7292B38-225A-4B50-8213-DA9DD5E10FC7}">
      <text>
        <r>
          <rPr>
            <b/>
            <sz val="9"/>
            <color indexed="81"/>
            <rFont val="Tahoma"/>
            <family val="2"/>
          </rPr>
          <t>Patricia Mokhberi:</t>
        </r>
        <r>
          <rPr>
            <sz val="9"/>
            <color indexed="81"/>
            <rFont val="Tahoma"/>
            <family val="2"/>
          </rPr>
          <t xml:space="preserve">
Housing Officer (remote worker) wages, travel, mileage, and satellite office costs and Misc. expenses</t>
        </r>
      </text>
    </comment>
    <comment ref="A15" authorId="0" shapeId="0" xr:uid="{00000000-0006-0000-0000-000007000000}">
      <text>
        <r>
          <rPr>
            <b/>
            <sz val="9"/>
            <color indexed="81"/>
            <rFont val="Tahoma"/>
            <family val="2"/>
          </rPr>
          <t>Patricia Mokhberi:</t>
        </r>
        <r>
          <rPr>
            <sz val="9"/>
            <color indexed="81"/>
            <rFont val="Tahoma"/>
            <family val="2"/>
          </rPr>
          <t xml:space="preserve">
Legal Fees - Leases, Purchase, Land Registry, Surveyor. 1st Year only</t>
        </r>
      </text>
    </comment>
    <comment ref="A16" authorId="0" shapeId="0" xr:uid="{00000000-0006-0000-0000-000008000000}">
      <text>
        <r>
          <rPr>
            <b/>
            <sz val="9"/>
            <color indexed="81"/>
            <rFont val="Tahoma"/>
            <family val="2"/>
          </rPr>
          <t>Patricia Mokhberi:</t>
        </r>
        <r>
          <rPr>
            <sz val="9"/>
            <color indexed="81"/>
            <rFont val="Tahoma"/>
            <family val="2"/>
          </rPr>
          <t xml:space="preserve">
Property Insurance</t>
        </r>
      </text>
    </comment>
    <comment ref="A17" authorId="2" shapeId="0" xr:uid="{00000000-0006-0000-0000-000009000000}">
      <text>
        <r>
          <rPr>
            <b/>
            <sz val="9"/>
            <color indexed="81"/>
            <rFont val="Tahoma"/>
            <family val="2"/>
          </rPr>
          <t>Patricia Mokhberi:</t>
        </r>
        <r>
          <rPr>
            <sz val="9"/>
            <color indexed="81"/>
            <rFont val="Tahoma"/>
            <family val="2"/>
          </rPr>
          <t xml:space="preserve">
Lease payments on empty units . </t>
        </r>
      </text>
    </comment>
    <comment ref="A20" authorId="1" shapeId="0" xr:uid="{00000000-0006-0000-0000-00000B000000}">
      <text>
        <r>
          <rPr>
            <b/>
            <sz val="9"/>
            <color indexed="81"/>
            <rFont val="Tahoma"/>
            <family val="2"/>
          </rPr>
          <t>Patricia Mokhberi:</t>
        </r>
        <r>
          <rPr>
            <sz val="9"/>
            <color indexed="81"/>
            <rFont val="Tahoma"/>
            <family val="2"/>
          </rPr>
          <t xml:space="preserve">
based on one visit per annum professional clean communal area's. Bio Hazard clean by request.</t>
        </r>
      </text>
    </comment>
    <comment ref="A21" authorId="1" shapeId="0" xr:uid="{00000000-0006-0000-0000-00000C000000}">
      <text>
        <r>
          <rPr>
            <b/>
            <sz val="9"/>
            <color indexed="81"/>
            <rFont val="Tahoma"/>
            <family val="2"/>
          </rPr>
          <t>Patricia Mokhberi:</t>
        </r>
        <r>
          <rPr>
            <sz val="9"/>
            <color indexed="81"/>
            <rFont val="Tahoma"/>
            <family val="2"/>
          </rPr>
          <t xml:space="preserve">
one visit per month over a 12 month period
</t>
        </r>
      </text>
    </comment>
    <comment ref="A22" authorId="1" shapeId="0" xr:uid="{00000000-0006-0000-0000-00000D000000}">
      <text>
        <r>
          <rPr>
            <b/>
            <sz val="9"/>
            <color indexed="81"/>
            <rFont val="Tahoma"/>
            <family val="2"/>
          </rPr>
          <t>Patricia Mokhberi:</t>
        </r>
        <r>
          <rPr>
            <sz val="9"/>
            <color indexed="81"/>
            <rFont val="Tahoma"/>
            <family val="2"/>
          </rPr>
          <t xml:space="preserve">
growing season 16 visits cutting grass, 1 visit year end tidy up, 1 visit year beginning tidy up. Weed control.  Hard standings.</t>
        </r>
      </text>
    </comment>
    <comment ref="A23" authorId="0" shapeId="0" xr:uid="{00000000-0006-0000-0000-00000E000000}">
      <text>
        <r>
          <rPr>
            <b/>
            <sz val="9"/>
            <color indexed="81"/>
            <rFont val="Tahoma"/>
            <family val="2"/>
          </rPr>
          <t>Patricia Mokhberi:</t>
        </r>
        <r>
          <rPr>
            <sz val="9"/>
            <color indexed="81"/>
            <rFont val="Tahoma"/>
            <family val="2"/>
          </rPr>
          <t xml:space="preserve">
Cost of annual Waste Disposal Contract or Skip Hire as necessary. Bio Hazard Waste Removal</t>
        </r>
      </text>
    </comment>
    <comment ref="A24" authorId="3" shapeId="0" xr:uid="{00000000-0006-0000-0000-00000F000000}">
      <text>
        <r>
          <rPr>
            <b/>
            <sz val="9"/>
            <color indexed="81"/>
            <rFont val="Tahoma"/>
            <family val="2"/>
          </rPr>
          <t xml:space="preserve">Patricia Mokhberi:
</t>
        </r>
        <r>
          <rPr>
            <sz val="9"/>
            <color indexed="81"/>
            <rFont val="Tahoma"/>
            <family val="2"/>
          </rPr>
          <t xml:space="preserve">Annual service contract or  pest control  intervention upon request
as necessary
</t>
        </r>
      </text>
    </comment>
    <comment ref="A25" authorId="1" shapeId="0" xr:uid="{00000000-0006-0000-0000-000010000000}">
      <text>
        <r>
          <rPr>
            <b/>
            <sz val="9"/>
            <color indexed="81"/>
            <rFont val="Tahoma"/>
            <family val="2"/>
          </rPr>
          <t>Patricia Mokhberi:</t>
        </r>
        <r>
          <rPr>
            <sz val="9"/>
            <color indexed="81"/>
            <rFont val="Tahoma"/>
            <family val="2"/>
          </rPr>
          <t xml:space="preserve">
5 year cyclical common area's only or more frequent ly if circumstances dictate</t>
        </r>
      </text>
    </comment>
    <comment ref="A26" authorId="0" shapeId="0" xr:uid="{00000000-0006-0000-0000-000011000000}">
      <text>
        <r>
          <rPr>
            <b/>
            <sz val="9"/>
            <color indexed="81"/>
            <rFont val="Tahoma"/>
            <family val="2"/>
          </rPr>
          <t>Patricia Mokhberi:</t>
        </r>
        <r>
          <rPr>
            <sz val="9"/>
            <color indexed="81"/>
            <rFont val="Tahoma"/>
            <family val="2"/>
          </rPr>
          <t xml:space="preserve">
Elec/Gas/Fuel for communal areas</t>
        </r>
      </text>
    </comment>
    <comment ref="A28" authorId="0" shapeId="0" xr:uid="{00000000-0006-0000-0000-000012000000}">
      <text>
        <r>
          <rPr>
            <b/>
            <sz val="9"/>
            <color indexed="81"/>
            <rFont val="Tahoma"/>
            <family val="2"/>
          </rPr>
          <t xml:space="preserve">Patricia Mokhberi: </t>
        </r>
        <r>
          <rPr>
            <sz val="9"/>
            <color indexed="81"/>
            <rFont val="Tahoma"/>
            <family val="2"/>
          </rPr>
          <t xml:space="preserve">Repair/replace fridge, freezer, washer, dryer, cooker/hob </t>
        </r>
        <r>
          <rPr>
            <sz val="9"/>
            <color indexed="81"/>
            <rFont val="Tahoma"/>
            <family val="2"/>
          </rPr>
          <t xml:space="preserve">
</t>
        </r>
      </text>
    </comment>
    <comment ref="A29" authorId="0" shapeId="0" xr:uid="{00000000-0006-0000-0000-000013000000}">
      <text>
        <r>
          <rPr>
            <b/>
            <sz val="9"/>
            <color indexed="81"/>
            <rFont val="Tahoma"/>
            <family val="2"/>
          </rPr>
          <t>Patricia Mokhberi:</t>
        </r>
        <r>
          <rPr>
            <sz val="9"/>
            <color indexed="81"/>
            <rFont val="Tahoma"/>
            <family val="2"/>
          </rPr>
          <t xml:space="preserve">
First Year Estimated £9.00 per tenant - Second Year - Actual figures plus 5% inflation</t>
        </r>
      </text>
    </comment>
    <comment ref="A30" authorId="1" shapeId="0" xr:uid="{00000000-0006-0000-0000-000014000000}">
      <text>
        <r>
          <rPr>
            <b/>
            <sz val="9"/>
            <color indexed="81"/>
            <rFont val="Tahoma"/>
            <family val="2"/>
          </rPr>
          <t>Patricia Mokhberi:</t>
        </r>
        <r>
          <rPr>
            <sz val="9"/>
            <color indexed="81"/>
            <rFont val="Tahoma"/>
            <family val="2"/>
          </rPr>
          <t xml:space="preserve">
costs for communal furniture calculated over 5 years, three piece suite, dining table and chairs, tv and stand </t>
        </r>
      </text>
    </comment>
    <comment ref="A31" authorId="1" shapeId="0" xr:uid="{00000000-0006-0000-0000-000015000000}">
      <text>
        <r>
          <rPr>
            <b/>
            <sz val="9"/>
            <color indexed="81"/>
            <rFont val="Tahoma"/>
            <family val="2"/>
          </rPr>
          <t>Patricia Mokhberi:</t>
        </r>
        <r>
          <rPr>
            <sz val="9"/>
            <color indexed="81"/>
            <rFont val="Tahoma"/>
            <family val="2"/>
          </rPr>
          <t xml:space="preserve">
Provision and renewal of fire blanket and fire extinguisher FRA. Smoke Detectors. Evacuation Notice.</t>
        </r>
      </text>
    </comment>
    <comment ref="A32" authorId="3" shapeId="0" xr:uid="{00000000-0006-0000-0000-000016000000}">
      <text>
        <r>
          <rPr>
            <b/>
            <sz val="9"/>
            <color indexed="81"/>
            <rFont val="Tahoma"/>
            <family val="2"/>
          </rPr>
          <t>Patricia Mokhberi:</t>
        </r>
        <r>
          <rPr>
            <sz val="9"/>
            <color indexed="81"/>
            <rFont val="Tahoma"/>
            <family val="2"/>
          </rPr>
          <t xml:space="preserve">
All of the service charges added up excluding the Void cost as this a percentage of this cost
</t>
        </r>
      </text>
    </comment>
    <comment ref="A33" authorId="2" shapeId="0" xr:uid="{00000000-0006-0000-0000-000017000000}">
      <text>
        <r>
          <rPr>
            <b/>
            <sz val="9"/>
            <color indexed="81"/>
            <rFont val="Tahoma"/>
            <family val="2"/>
          </rPr>
          <t>Patricia Mokhberi:</t>
        </r>
        <r>
          <rPr>
            <sz val="9"/>
            <color indexed="81"/>
            <rFont val="Tahoma"/>
            <family val="2"/>
          </rPr>
          <t xml:space="preserve">
Costs for upkeep of void units. Ie Utilities, maintenance </t>
        </r>
      </text>
    </comment>
    <comment ref="A34" authorId="3" shapeId="0" xr:uid="{00000000-0006-0000-0000-000018000000}">
      <text>
        <r>
          <rPr>
            <b/>
            <sz val="9"/>
            <color indexed="81"/>
            <rFont val="Tahoma"/>
            <family val="2"/>
          </rPr>
          <t>Patricia Mokhberi:</t>
        </r>
        <r>
          <rPr>
            <sz val="9"/>
            <color indexed="81"/>
            <rFont val="Tahoma"/>
            <family val="2"/>
          </rPr>
          <t xml:space="preserve">
Service Charges + void service charge costs
otal figure
</t>
        </r>
      </text>
    </comment>
    <comment ref="A36" authorId="0" shapeId="0" xr:uid="{C4A3B293-EB88-4291-A1A1-7CE80139FA4B}">
      <text>
        <r>
          <rPr>
            <b/>
            <sz val="9"/>
            <color indexed="81"/>
            <rFont val="Tahoma"/>
            <family val="2"/>
          </rPr>
          <t>Patricia Mokhberi:</t>
        </r>
        <r>
          <rPr>
            <sz val="9"/>
            <color indexed="81"/>
            <rFont val="Tahoma"/>
            <family val="2"/>
          </rPr>
          <t xml:space="preserve">
Paid by the tenants</t>
        </r>
      </text>
    </comment>
    <comment ref="A37" authorId="0" shapeId="0" xr:uid="{90665A60-7040-451C-822E-80BFAAFD7BF3}">
      <text>
        <r>
          <rPr>
            <b/>
            <sz val="9"/>
            <color indexed="81"/>
            <rFont val="Tahoma"/>
            <family val="2"/>
          </rPr>
          <t>Patricia Mokhberi:</t>
        </r>
        <r>
          <rPr>
            <sz val="9"/>
            <color indexed="81"/>
            <rFont val="Tahoma"/>
            <family val="2"/>
          </rPr>
          <t xml:space="preserve">
Paid by the tenants</t>
        </r>
      </text>
    </comment>
  </commentList>
</comments>
</file>

<file path=xl/sharedStrings.xml><?xml version="1.0" encoding="utf-8"?>
<sst xmlns="http://schemas.openxmlformats.org/spreadsheetml/2006/main" count="41" uniqueCount="41">
  <si>
    <t>Bespoke Supportive Tenancies Ltd</t>
  </si>
  <si>
    <t>Service</t>
  </si>
  <si>
    <t xml:space="preserve">External Window Cleaning </t>
  </si>
  <si>
    <t xml:space="preserve">Gardening and Grounds Maintenance </t>
  </si>
  <si>
    <t>Maintenance Servicing and Repairs</t>
  </si>
  <si>
    <t>Total Core Rent and Service Charge (per annum)</t>
  </si>
  <si>
    <t>Sinking Fund 2%</t>
  </si>
  <si>
    <t>Buildings Depreciation 6%</t>
  </si>
  <si>
    <t>Core Rent Total</t>
  </si>
  <si>
    <t>Cost (£) PA</t>
  </si>
  <si>
    <t xml:space="preserve"> </t>
  </si>
  <si>
    <t>Service Total</t>
  </si>
  <si>
    <t>Void Service Charges 8%</t>
  </si>
  <si>
    <t>Service Total + Void Service Charges</t>
  </si>
  <si>
    <t>Waste Disposal</t>
  </si>
  <si>
    <t>Pest Control</t>
  </si>
  <si>
    <t>Buildings Insurance</t>
  </si>
  <si>
    <t>Internal Decoration</t>
  </si>
  <si>
    <t>Weekly</t>
  </si>
  <si>
    <t>Tenants (number of units)</t>
  </si>
  <si>
    <t>Per Tenant</t>
  </si>
  <si>
    <t>Health &amp; Safety/ Fire Fighting Equipment</t>
  </si>
  <si>
    <t>Council Tax (shared houses)</t>
  </si>
  <si>
    <t>Communal Housekeeping/ Eligible Service Charges</t>
  </si>
  <si>
    <t xml:space="preserve">Communal Area/ Deep Cleaning </t>
  </si>
  <si>
    <t>Base Rent (per annum)</t>
  </si>
  <si>
    <t>Statutory Compliance Testing/ Contracts &amp; Servicing</t>
  </si>
  <si>
    <t>Professional Fees (legal/ surveyor costs)</t>
  </si>
  <si>
    <t>Electricity/ Gas/ Fuel (communal areas only)</t>
  </si>
  <si>
    <t>White Goods Depreciation - Provision/ Repair/ Replace (3 years)</t>
  </si>
  <si>
    <t>Central Office Staff Costs</t>
  </si>
  <si>
    <t>Central Office Costs (Overheads)</t>
  </si>
  <si>
    <t>Void Costs 8% (empty units)</t>
  </si>
  <si>
    <t>Ineligible Service Charges</t>
  </si>
  <si>
    <t>Water</t>
  </si>
  <si>
    <t>Personal Fuel Costs</t>
  </si>
  <si>
    <t>Housing Officer Costs</t>
  </si>
  <si>
    <t>Furniture - Provision/ Replacement/ Repair (communal areas only)</t>
  </si>
  <si>
    <t>Rents and Service Charges 2023</t>
  </si>
  <si>
    <t>Remedials, Repairs &amp; Callouts</t>
  </si>
  <si>
    <t>North Lodge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</si>
</sst>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16"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i/>
      <sz val="11"/>
      <color theme="1"/>
      <name val="Calibri"/>
      <family val="2"/>
      <scheme val="minor"/>
    </font>
    <font>
      <sz val="12"/>
      <color theme="1"/>
      <name val="Calibri"/>
      <family val="2"/>
      <scheme val="minor"/>
    </font>
    <font>
      <sz val="12"/>
      <name val="Calibri"/>
      <family val="2"/>
      <scheme val="minor"/>
    </font>
    <font>
      <i/>
      <sz val="12"/>
      <color theme="1"/>
      <name val="Calibri"/>
      <family val="2"/>
      <scheme val="minor"/>
    </font>
    <font>
      <b/>
      <sz val="12"/>
      <name val="Calibri"/>
      <family val="2"/>
      <scheme val="minor"/>
    </font>
    <font>
      <b/>
      <i/>
      <sz val="12"/>
      <name val="Calibri"/>
      <family val="2"/>
      <scheme val="minor"/>
    </font>
    <font>
      <i/>
      <sz val="12"/>
      <name val="Calibri"/>
      <family val="2"/>
      <scheme val="minor"/>
    </font>
    <font>
      <b/>
      <sz val="14"/>
      <name val="Calibri Light"/>
      <family val="2"/>
      <scheme val="major"/>
    </font>
    <font>
      <b/>
      <sz val="12"/>
      <name val="Calibri Light"/>
      <family val="2"/>
      <scheme val="major"/>
    </font>
    <font>
      <b/>
      <sz val="13"/>
      <name val="Calibri Light"/>
      <family val="2"/>
      <scheme val="major"/>
    </font>
    <font>
      <b/>
      <sz val="12"/>
      <color theme="1"/>
      <name val="Calibri"/>
      <family val="2"/>
      <scheme val="minor"/>
    </font>
    <font>
      <b/>
      <sz val="12"/>
      <color theme="1"/>
      <name val="Calibri Light"/>
      <family val="2"/>
      <scheme val="major"/>
    </font>
  </fonts>
  <fills count="5">
    <fill>
      <patternFill patternType="none"/>
    </fill>
    <fill>
      <patternFill patternType="gray125"/>
    </fill>
    <fill>
      <patternFill patternType="solid">
        <fgColor rgb="FFB4ABCD"/>
        <bgColor indexed="64"/>
      </patternFill>
    </fill>
    <fill>
      <patternFill patternType="solid">
        <fgColor rgb="FFE7E4EF"/>
        <bgColor indexed="64"/>
      </patternFill>
    </fill>
    <fill>
      <patternFill patternType="solid">
        <fgColor rgb="FFB5ABCD"/>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0" fontId="4" fillId="0" borderId="0" xfId="0" applyFont="1"/>
    <xf numFmtId="0" fontId="5" fillId="0" borderId="0" xfId="0" applyFont="1"/>
    <xf numFmtId="0" fontId="7" fillId="0" borderId="0" xfId="0" applyFont="1"/>
    <xf numFmtId="0" fontId="6" fillId="0" borderId="0" xfId="0" applyFont="1"/>
    <xf numFmtId="0" fontId="14" fillId="0" borderId="0" xfId="0" applyFont="1"/>
    <xf numFmtId="0" fontId="12" fillId="0" borderId="0" xfId="0" applyFont="1"/>
    <xf numFmtId="0" fontId="15" fillId="0" borderId="0" xfId="0" applyFont="1"/>
    <xf numFmtId="44" fontId="9" fillId="0" borderId="3" xfId="1" applyFont="1" applyFill="1" applyBorder="1"/>
    <xf numFmtId="44" fontId="6" fillId="0" borderId="0" xfId="1" applyFont="1"/>
    <xf numFmtId="44" fontId="10" fillId="0" borderId="0" xfId="1" applyFont="1" applyFill="1" applyBorder="1"/>
    <xf numFmtId="44" fontId="6" fillId="0" borderId="0" xfId="1" applyFont="1" applyFill="1" applyBorder="1"/>
    <xf numFmtId="44" fontId="9" fillId="0" borderId="3" xfId="1" applyFont="1" applyBorder="1"/>
    <xf numFmtId="44" fontId="9" fillId="0" borderId="0" xfId="1" applyFont="1" applyBorder="1"/>
    <xf numFmtId="44" fontId="9" fillId="0" borderId="8" xfId="1" applyFont="1" applyBorder="1"/>
    <xf numFmtId="44" fontId="6" fillId="0" borderId="0" xfId="1" applyFont="1" applyFill="1"/>
    <xf numFmtId="0" fontId="8" fillId="2" borderId="1" xfId="0" applyFont="1" applyFill="1" applyBorder="1" applyAlignment="1">
      <alignment horizontal="left"/>
    </xf>
    <xf numFmtId="0" fontId="9" fillId="2" borderId="1" xfId="0" applyFont="1" applyFill="1" applyBorder="1"/>
    <xf numFmtId="0" fontId="9" fillId="2" borderId="5" xfId="0" applyFont="1" applyFill="1" applyBorder="1"/>
    <xf numFmtId="0" fontId="8" fillId="2" borderId="1" xfId="0" applyFont="1" applyFill="1" applyBorder="1"/>
    <xf numFmtId="44" fontId="8" fillId="2" borderId="4" xfId="1" applyFont="1" applyFill="1" applyBorder="1"/>
    <xf numFmtId="164" fontId="8" fillId="2" borderId="1" xfId="0" applyNumberFormat="1" applyFont="1" applyFill="1" applyBorder="1"/>
    <xf numFmtId="164" fontId="6" fillId="2" borderId="1" xfId="0" applyNumberFormat="1" applyFont="1" applyFill="1" applyBorder="1"/>
    <xf numFmtId="0" fontId="6" fillId="3" borderId="1" xfId="0" applyFont="1" applyFill="1" applyBorder="1" applyAlignment="1">
      <alignment horizontal="left"/>
    </xf>
    <xf numFmtId="164" fontId="8" fillId="3" borderId="1" xfId="0" applyNumberFormat="1" applyFont="1" applyFill="1" applyBorder="1" applyAlignment="1">
      <alignment horizontal="center"/>
    </xf>
    <xf numFmtId="0" fontId="8" fillId="3" borderId="1" xfId="0" applyFont="1" applyFill="1" applyBorder="1" applyAlignment="1">
      <alignment horizontal="left"/>
    </xf>
    <xf numFmtId="0" fontId="13" fillId="2" borderId="1" xfId="0" applyFont="1" applyFill="1" applyBorder="1" applyAlignment="1">
      <alignment horizontal="left"/>
    </xf>
    <xf numFmtId="0" fontId="6" fillId="3" borderId="1" xfId="0" applyFont="1" applyFill="1" applyBorder="1"/>
    <xf numFmtId="164" fontId="6" fillId="3" borderId="1" xfId="0" applyNumberFormat="1" applyFont="1" applyFill="1" applyBorder="1"/>
    <xf numFmtId="0" fontId="6" fillId="3" borderId="2" xfId="0" applyFont="1" applyFill="1" applyBorder="1"/>
    <xf numFmtId="0" fontId="6" fillId="3" borderId="7" xfId="0" applyFont="1" applyFill="1" applyBorder="1"/>
    <xf numFmtId="0" fontId="8" fillId="3" borderId="1" xfId="0" applyFont="1" applyFill="1" applyBorder="1" applyAlignment="1">
      <alignment horizontal="center"/>
    </xf>
    <xf numFmtId="164" fontId="13" fillId="2" borderId="1" xfId="0" applyNumberFormat="1" applyFont="1" applyFill="1" applyBorder="1" applyAlignment="1">
      <alignment horizontal="center"/>
    </xf>
    <xf numFmtId="0" fontId="13" fillId="3" borderId="5" xfId="0" applyFont="1" applyFill="1" applyBorder="1"/>
    <xf numFmtId="0" fontId="13" fillId="2" borderId="5" xfId="0" applyFont="1" applyFill="1" applyBorder="1"/>
    <xf numFmtId="44" fontId="8" fillId="2" borderId="1" xfId="1" applyFont="1" applyFill="1" applyBorder="1" applyAlignment="1">
      <alignment horizontal="left"/>
    </xf>
    <xf numFmtId="0" fontId="13" fillId="3" borderId="6" xfId="0" applyFont="1" applyFill="1" applyBorder="1"/>
    <xf numFmtId="0" fontId="13" fillId="2" borderId="6" xfId="0" applyFont="1" applyFill="1" applyBorder="1"/>
    <xf numFmtId="0" fontId="13" fillId="4" borderId="5" xfId="0" applyFont="1" applyFill="1" applyBorder="1" applyAlignment="1">
      <alignment horizontal="left"/>
    </xf>
    <xf numFmtId="0" fontId="13" fillId="4" borderId="6" xfId="0" applyFont="1" applyFill="1" applyBorder="1" applyAlignment="1">
      <alignment horizontal="left"/>
    </xf>
    <xf numFmtId="0" fontId="11" fillId="2" borderId="1" xfId="0" applyFont="1" applyFill="1" applyBorder="1" applyAlignment="1">
      <alignment horizontal="center"/>
    </xf>
    <xf numFmtId="0" fontId="13" fillId="3" borderId="1" xfId="0" applyFont="1" applyFill="1" applyBorder="1" applyAlignment="1">
      <alignment horizontal="center"/>
    </xf>
    <xf numFmtId="0" fontId="13" fillId="3" borderId="5" xfId="0" applyFont="1" applyFill="1" applyBorder="1" applyAlignment="1">
      <alignment horizontal="center"/>
    </xf>
    <xf numFmtId="0" fontId="13" fillId="3" borderId="6"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B5ABCD"/>
      <color rgb="FFB4ABCD"/>
      <color rgb="FFE7E4EF"/>
      <color rgb="FFD3EAC8"/>
      <color rgb="FF63AC43"/>
      <color rgb="FF277D3F"/>
      <color rgb="FF382A61"/>
      <color rgb="FF430B7B"/>
      <color rgb="FFB478FA"/>
      <color rgb="FF3C9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47"/>
  <sheetViews>
    <sheetView tabSelected="1" zoomScale="85" zoomScaleNormal="85" workbookViewId="0">
      <selection sqref="A1:B1"/>
    </sheetView>
  </sheetViews>
  <sheetFormatPr defaultRowHeight="15" x14ac:dyDescent="0.25"/>
  <cols>
    <col min="1" max="1" width="75.140625" customWidth="1"/>
    <col min="2" max="2" width="16.85546875" bestFit="1" customWidth="1"/>
    <col min="4" max="4" width="13.140625" bestFit="1" customWidth="1"/>
    <col min="5" max="5" width="17.28515625" customWidth="1"/>
    <col min="6" max="6" width="14" bestFit="1" customWidth="1"/>
    <col min="7" max="7" width="18" bestFit="1" customWidth="1"/>
  </cols>
  <sheetData>
    <row r="1" spans="1:7" ht="18.75" x14ac:dyDescent="0.3">
      <c r="A1" s="40" t="s">
        <v>0</v>
      </c>
      <c r="B1" s="40"/>
      <c r="C1" s="2"/>
      <c r="D1" s="6" t="s">
        <v>18</v>
      </c>
      <c r="E1" s="6" t="s">
        <v>20</v>
      </c>
      <c r="F1" s="7"/>
      <c r="G1" s="7"/>
    </row>
    <row r="2" spans="1:7" ht="17.25" x14ac:dyDescent="0.3">
      <c r="A2" s="41" t="s">
        <v>38</v>
      </c>
      <c r="B2" s="41"/>
      <c r="C2" s="2"/>
      <c r="D2" s="4"/>
      <c r="E2" s="4"/>
      <c r="F2" s="2"/>
      <c r="G2" s="2"/>
    </row>
    <row r="3" spans="1:7" ht="17.25" x14ac:dyDescent="0.3">
      <c r="A3" s="42" t="s">
        <v>40</v>
      </c>
      <c r="B3" s="43"/>
      <c r="C3" s="2"/>
      <c r="D3" s="4"/>
      <c r="E3" s="4"/>
      <c r="F3" s="2"/>
      <c r="G3" s="2"/>
    </row>
    <row r="4" spans="1:7" ht="17.25" x14ac:dyDescent="0.3">
      <c r="A4" s="26" t="s">
        <v>1</v>
      </c>
      <c r="B4" s="32" t="s">
        <v>9</v>
      </c>
      <c r="C4" s="2"/>
      <c r="D4" s="4"/>
      <c r="E4" s="4"/>
      <c r="F4" s="2"/>
      <c r="G4" s="2"/>
    </row>
    <row r="5" spans="1:7" ht="15.75" x14ac:dyDescent="0.25">
      <c r="A5" s="25" t="s">
        <v>19</v>
      </c>
      <c r="B5" s="31">
        <v>10</v>
      </c>
      <c r="C5" s="2"/>
      <c r="D5" s="4"/>
      <c r="E5" s="4"/>
      <c r="F5" s="2"/>
      <c r="G5" s="2"/>
    </row>
    <row r="6" spans="1:7" ht="15.75" x14ac:dyDescent="0.25">
      <c r="A6" s="16" t="s">
        <v>25</v>
      </c>
      <c r="B6" s="35">
        <v>52170.79</v>
      </c>
      <c r="C6" s="2"/>
      <c r="D6" s="9">
        <f t="shared" ref="D6" si="0">B6/52</f>
        <v>1003.2844230769231</v>
      </c>
      <c r="E6" s="9">
        <f>D6/$B$5</f>
        <v>100.32844230769231</v>
      </c>
    </row>
    <row r="7" spans="1:7" ht="15.75" x14ac:dyDescent="0.25">
      <c r="A7" s="23"/>
      <c r="B7" s="24"/>
      <c r="C7" s="2"/>
      <c r="D7" s="9"/>
      <c r="E7" s="9"/>
    </row>
    <row r="8" spans="1:7" ht="15.75" x14ac:dyDescent="0.25">
      <c r="A8" s="27" t="s">
        <v>7</v>
      </c>
      <c r="B8" s="28">
        <f>ROUNDDOWN(SUM($B$6*6%),2)</f>
        <v>3130.24</v>
      </c>
      <c r="C8" s="2"/>
      <c r="D8" s="9">
        <f>B8/52</f>
        <v>60.196923076923071</v>
      </c>
      <c r="E8" s="9">
        <f>D8/$B$5</f>
        <v>6.0196923076923072</v>
      </c>
    </row>
    <row r="9" spans="1:7" ht="15.75" x14ac:dyDescent="0.25">
      <c r="A9" s="27" t="s">
        <v>6</v>
      </c>
      <c r="B9" s="28">
        <f>ROUNDDOWN(SUM($B$6*2%),2)</f>
        <v>1043.4100000000001</v>
      </c>
      <c r="C9" s="2"/>
      <c r="D9" s="9">
        <f t="shared" ref="D9:D25" si="1">B9/52</f>
        <v>20.065576923076925</v>
      </c>
      <c r="E9" s="9">
        <f t="shared" ref="E9:E17" si="2">D9/$B$5</f>
        <v>2.0065576923076924</v>
      </c>
    </row>
    <row r="10" spans="1:7" ht="15.75" x14ac:dyDescent="0.25">
      <c r="A10" s="27" t="s">
        <v>22</v>
      </c>
      <c r="B10" s="28">
        <v>0</v>
      </c>
      <c r="C10" s="2"/>
      <c r="D10" s="9">
        <f t="shared" ref="D10:D18" si="3">B10/52</f>
        <v>0</v>
      </c>
      <c r="E10" s="9">
        <f t="shared" si="2"/>
        <v>0</v>
      </c>
    </row>
    <row r="11" spans="1:7" ht="15.75" x14ac:dyDescent="0.25">
      <c r="A11" s="27" t="s">
        <v>26</v>
      </c>
      <c r="B11" s="28">
        <v>5250</v>
      </c>
      <c r="C11" s="2"/>
      <c r="D11" s="9">
        <f t="shared" ref="D11" si="4">B11/52</f>
        <v>100.96153846153847</v>
      </c>
      <c r="E11" s="9">
        <f t="shared" ref="E11:E14" si="5">D11/$B$5</f>
        <v>10.096153846153847</v>
      </c>
    </row>
    <row r="12" spans="1:7" ht="15.75" x14ac:dyDescent="0.25">
      <c r="A12" s="27" t="s">
        <v>31</v>
      </c>
      <c r="B12" s="28">
        <v>10436.4</v>
      </c>
      <c r="C12" s="2"/>
      <c r="D12" s="9">
        <f t="shared" ref="D12:D14" si="6">B12/52</f>
        <v>200.7</v>
      </c>
      <c r="E12" s="9">
        <f t="shared" si="5"/>
        <v>20.07</v>
      </c>
    </row>
    <row r="13" spans="1:7" ht="15.75" x14ac:dyDescent="0.25">
      <c r="A13" s="27" t="s">
        <v>30</v>
      </c>
      <c r="B13" s="28">
        <v>14081.6</v>
      </c>
      <c r="C13" s="2"/>
      <c r="D13" s="9">
        <f t="shared" si="6"/>
        <v>270.8</v>
      </c>
      <c r="E13" s="9">
        <f t="shared" si="5"/>
        <v>27.080000000000002</v>
      </c>
    </row>
    <row r="14" spans="1:7" ht="15.75" x14ac:dyDescent="0.25">
      <c r="A14" s="27" t="s">
        <v>36</v>
      </c>
      <c r="B14" s="28">
        <v>5522.4</v>
      </c>
      <c r="C14" s="2"/>
      <c r="D14" s="9">
        <f t="shared" si="6"/>
        <v>106.19999999999999</v>
      </c>
      <c r="E14" s="9">
        <f t="shared" si="5"/>
        <v>10.62</v>
      </c>
    </row>
    <row r="15" spans="1:7" ht="15.75" x14ac:dyDescent="0.25">
      <c r="A15" s="27" t="s">
        <v>27</v>
      </c>
      <c r="B15" s="28">
        <v>0</v>
      </c>
      <c r="C15" s="2"/>
      <c r="D15" s="9">
        <f t="shared" si="3"/>
        <v>0</v>
      </c>
      <c r="E15" s="9">
        <f t="shared" si="2"/>
        <v>0</v>
      </c>
    </row>
    <row r="16" spans="1:7" ht="15.75" x14ac:dyDescent="0.25">
      <c r="A16" s="27" t="s">
        <v>16</v>
      </c>
      <c r="B16" s="28">
        <v>3438.5</v>
      </c>
      <c r="C16" s="2"/>
      <c r="D16" s="9">
        <f t="shared" si="3"/>
        <v>66.125</v>
      </c>
      <c r="E16" s="9">
        <f t="shared" si="2"/>
        <v>6.6124999999999998</v>
      </c>
    </row>
    <row r="17" spans="1:5" ht="15.75" x14ac:dyDescent="0.25">
      <c r="A17" s="27" t="s">
        <v>32</v>
      </c>
      <c r="B17" s="28">
        <f>ROUNDDOWN(SUM($B$6*8%),2)</f>
        <v>4173.66</v>
      </c>
      <c r="C17" s="2"/>
      <c r="D17" s="9">
        <f t="shared" si="3"/>
        <v>80.262692307692305</v>
      </c>
      <c r="E17" s="9">
        <f t="shared" si="2"/>
        <v>8.0262692307692305</v>
      </c>
    </row>
    <row r="18" spans="1:5" s="1" customFormat="1" ht="15.75" x14ac:dyDescent="0.25">
      <c r="A18" s="17" t="s">
        <v>8</v>
      </c>
      <c r="B18" s="22">
        <f>SUM($B$6,B8:B17)</f>
        <v>99247</v>
      </c>
      <c r="C18" s="3"/>
      <c r="D18" s="8">
        <f t="shared" si="3"/>
        <v>1908.5961538461538</v>
      </c>
      <c r="E18" s="8">
        <f>D18/$B$5</f>
        <v>190.85961538461538</v>
      </c>
    </row>
    <row r="19" spans="1:5" ht="17.25" x14ac:dyDescent="0.3">
      <c r="A19" s="33" t="s">
        <v>23</v>
      </c>
      <c r="B19" s="36"/>
      <c r="C19" s="2"/>
      <c r="D19" s="9"/>
      <c r="E19" s="9"/>
    </row>
    <row r="20" spans="1:5" ht="15.75" x14ac:dyDescent="0.25">
      <c r="A20" s="27" t="s">
        <v>24</v>
      </c>
      <c r="B20" s="28">
        <v>0</v>
      </c>
      <c r="C20" s="2"/>
      <c r="D20" s="9">
        <f t="shared" si="1"/>
        <v>0</v>
      </c>
      <c r="E20" s="9">
        <f t="shared" ref="E20:E26" si="7">D20/$B$5</f>
        <v>0</v>
      </c>
    </row>
    <row r="21" spans="1:5" ht="15.75" x14ac:dyDescent="0.25">
      <c r="A21" s="27" t="s">
        <v>2</v>
      </c>
      <c r="B21" s="28">
        <v>0</v>
      </c>
      <c r="C21" s="2"/>
      <c r="D21" s="9">
        <f t="shared" si="1"/>
        <v>0</v>
      </c>
      <c r="E21" s="9">
        <f t="shared" si="7"/>
        <v>0</v>
      </c>
    </row>
    <row r="22" spans="1:5" ht="15.75" x14ac:dyDescent="0.25">
      <c r="A22" s="27" t="s">
        <v>3</v>
      </c>
      <c r="B22" s="28">
        <v>4777.32</v>
      </c>
      <c r="C22" s="2"/>
      <c r="D22" s="9">
        <f t="shared" si="1"/>
        <v>91.871538461538449</v>
      </c>
      <c r="E22" s="9">
        <f t="shared" si="7"/>
        <v>9.1871538461538442</v>
      </c>
    </row>
    <row r="23" spans="1:5" ht="15.75" x14ac:dyDescent="0.25">
      <c r="A23" s="27" t="s">
        <v>14</v>
      </c>
      <c r="B23" s="28">
        <v>5.67</v>
      </c>
      <c r="C23" s="2"/>
      <c r="D23" s="9">
        <f t="shared" ref="D23:D24" si="8">B23/52</f>
        <v>0.10903846153846154</v>
      </c>
      <c r="E23" s="9">
        <f t="shared" si="7"/>
        <v>1.0903846153846155E-2</v>
      </c>
    </row>
    <row r="24" spans="1:5" ht="15.75" x14ac:dyDescent="0.25">
      <c r="A24" s="27" t="s">
        <v>15</v>
      </c>
      <c r="B24" s="28">
        <v>442.26</v>
      </c>
      <c r="C24" s="2"/>
      <c r="D24" s="9">
        <f t="shared" si="8"/>
        <v>8.504999999999999</v>
      </c>
      <c r="E24" s="9">
        <f t="shared" si="7"/>
        <v>0.85049999999999992</v>
      </c>
    </row>
    <row r="25" spans="1:5" ht="15.75" x14ac:dyDescent="0.25">
      <c r="A25" s="27" t="s">
        <v>17</v>
      </c>
      <c r="B25" s="28">
        <v>1320.68</v>
      </c>
      <c r="C25" s="2"/>
      <c r="D25" s="9">
        <f t="shared" si="1"/>
        <v>25.39769230769231</v>
      </c>
      <c r="E25" s="9">
        <f t="shared" si="7"/>
        <v>2.539769230769231</v>
      </c>
    </row>
    <row r="26" spans="1:5" ht="15.75" x14ac:dyDescent="0.25">
      <c r="A26" s="27" t="s">
        <v>28</v>
      </c>
      <c r="B26" s="28">
        <v>0</v>
      </c>
      <c r="C26" s="2"/>
      <c r="D26" s="9">
        <f>B26/52</f>
        <v>0</v>
      </c>
      <c r="E26" s="9">
        <f t="shared" si="7"/>
        <v>0</v>
      </c>
    </row>
    <row r="27" spans="1:5" ht="17.25" x14ac:dyDescent="0.3">
      <c r="A27" s="34" t="s">
        <v>4</v>
      </c>
      <c r="B27" s="37"/>
      <c r="C27" s="2"/>
      <c r="D27" s="9"/>
      <c r="E27" s="9"/>
    </row>
    <row r="28" spans="1:5" ht="15.75" x14ac:dyDescent="0.25">
      <c r="A28" s="27" t="s">
        <v>29</v>
      </c>
      <c r="B28" s="28">
        <v>1950</v>
      </c>
      <c r="C28" s="2"/>
      <c r="D28" s="9">
        <f>B28/52</f>
        <v>37.5</v>
      </c>
      <c r="E28" s="9">
        <f>D28/$B$5</f>
        <v>3.75</v>
      </c>
    </row>
    <row r="29" spans="1:5" ht="15.75" x14ac:dyDescent="0.25">
      <c r="A29" s="27" t="s">
        <v>39</v>
      </c>
      <c r="B29" s="28">
        <v>15120</v>
      </c>
      <c r="C29" s="2"/>
      <c r="D29" s="9">
        <f>B29/52</f>
        <v>290.76923076923077</v>
      </c>
      <c r="E29" s="9">
        <f>D29/$B$5</f>
        <v>29.076923076923077</v>
      </c>
    </row>
    <row r="30" spans="1:5" ht="15.75" x14ac:dyDescent="0.25">
      <c r="A30" s="29" t="s">
        <v>37</v>
      </c>
      <c r="B30" s="28">
        <v>270</v>
      </c>
      <c r="C30" s="2"/>
      <c r="D30" s="9">
        <f>B30/52</f>
        <v>5.1923076923076925</v>
      </c>
      <c r="E30" s="9">
        <f>D30/$B$5</f>
        <v>0.51923076923076927</v>
      </c>
    </row>
    <row r="31" spans="1:5" ht="15.75" x14ac:dyDescent="0.25">
      <c r="A31" s="27" t="s">
        <v>21</v>
      </c>
      <c r="B31" s="28">
        <v>1680</v>
      </c>
      <c r="C31" s="2"/>
      <c r="D31" s="9">
        <f>B31/52</f>
        <v>32.307692307692307</v>
      </c>
      <c r="E31" s="9">
        <f>D31/$B$5</f>
        <v>3.2307692307692308</v>
      </c>
    </row>
    <row r="32" spans="1:5" s="1" customFormat="1" ht="15.75" x14ac:dyDescent="0.25">
      <c r="A32" s="18" t="s">
        <v>11</v>
      </c>
      <c r="B32" s="21">
        <f>SUM(B20:B26,B28:B31)</f>
        <v>25565.93</v>
      </c>
      <c r="C32" s="3"/>
      <c r="D32" s="10"/>
      <c r="E32" s="11"/>
    </row>
    <row r="33" spans="1:5" ht="15.75" x14ac:dyDescent="0.25">
      <c r="A33" s="30" t="s">
        <v>12</v>
      </c>
      <c r="B33" s="28">
        <f>ROUNDDOWN(SUM($B$32*8%),2)</f>
        <v>2045.27</v>
      </c>
      <c r="C33" s="2"/>
      <c r="D33" s="9">
        <f>B33/52</f>
        <v>39.332115384615385</v>
      </c>
      <c r="E33" s="9">
        <f t="shared" ref="E33" si="9">D33/$B$5</f>
        <v>3.9332115384615385</v>
      </c>
    </row>
    <row r="34" spans="1:5" ht="15.75" x14ac:dyDescent="0.25">
      <c r="A34" s="27" t="s">
        <v>13</v>
      </c>
      <c r="B34" s="28">
        <f>SUM(B32,B33)</f>
        <v>27611.200000000001</v>
      </c>
      <c r="C34" s="2"/>
      <c r="D34" s="12">
        <f>B34/52</f>
        <v>530.98461538461538</v>
      </c>
      <c r="E34" s="12">
        <f>D34/$B$5</f>
        <v>53.098461538461535</v>
      </c>
    </row>
    <row r="35" spans="1:5" ht="17.25" x14ac:dyDescent="0.3">
      <c r="A35" s="38" t="s">
        <v>33</v>
      </c>
      <c r="B35" s="39"/>
      <c r="C35" s="2"/>
      <c r="D35" s="13"/>
      <c r="E35" s="14"/>
    </row>
    <row r="36" spans="1:5" ht="15.75" x14ac:dyDescent="0.25">
      <c r="A36" s="27" t="s">
        <v>34</v>
      </c>
      <c r="B36" s="28">
        <v>0</v>
      </c>
      <c r="C36" s="2"/>
      <c r="D36" s="9">
        <f>B36/52</f>
        <v>0</v>
      </c>
      <c r="E36" s="9">
        <f>D36/$B$5</f>
        <v>0</v>
      </c>
    </row>
    <row r="37" spans="1:5" ht="15.75" x14ac:dyDescent="0.25">
      <c r="A37" s="27" t="s">
        <v>35</v>
      </c>
      <c r="B37" s="28">
        <v>0</v>
      </c>
      <c r="C37" s="2"/>
      <c r="D37" s="9">
        <f>B37/52</f>
        <v>0</v>
      </c>
      <c r="E37" s="9">
        <f>D37/$B$5</f>
        <v>0</v>
      </c>
    </row>
    <row r="38" spans="1:5" ht="16.5" thickBot="1" x14ac:dyDescent="0.3">
      <c r="A38" s="19" t="s">
        <v>5</v>
      </c>
      <c r="B38" s="21">
        <f>SUM(B18,B34)</f>
        <v>126858.2</v>
      </c>
      <c r="C38" s="2"/>
      <c r="D38" s="15"/>
      <c r="E38" s="20">
        <f>SUM(E6,E8:E17,E20:E26,E28:E31,E33)</f>
        <v>243.95807692307693</v>
      </c>
    </row>
    <row r="39" spans="1:5" ht="15.75" thickTop="1" x14ac:dyDescent="0.25"/>
    <row r="40" spans="1:5" x14ac:dyDescent="0.25">
      <c r="E40" t="s">
        <v>10</v>
      </c>
    </row>
    <row r="41" spans="1:5" ht="15.75" x14ac:dyDescent="0.25">
      <c r="A41" s="5"/>
    </row>
    <row r="47" spans="1:5" ht="17.25" customHeight="1" x14ac:dyDescent="0.25"/>
  </sheetData>
  <mergeCells count="4">
    <mergeCell ref="A35:B35"/>
    <mergeCell ref="A1:B1"/>
    <mergeCell ref="A2:B2"/>
    <mergeCell ref="A3:B3"/>
  </mergeCells>
  <pageMargins left="0.7" right="0.7" top="0.75" bottom="0.75" header="0.3" footer="0.3"/>
  <pageSetup paperSize="9" scale="53"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B8A90A-6A3E-418F-912A-B6EF403F65D6}">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Rent Schedule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appleby</dc:creator>
  <cp:lastModifiedBy>William Fay</cp:lastModifiedBy>
  <cp:lastPrinted>2020-01-20T11:01:01Z</cp:lastPrinted>
  <dcterms:created xsi:type="dcterms:W3CDTF">2013-03-12T17:24:30Z</dcterms:created>
  <dcterms:modified xsi:type="dcterms:W3CDTF">2023-02-08T16:16:45Z</dcterms:modified>
</cp:coreProperties>
</file>