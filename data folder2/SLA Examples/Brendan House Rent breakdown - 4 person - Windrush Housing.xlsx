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OneDrive - Windrush Alliance UK\Documents\Rent Cards\"/>
    </mc:Choice>
  </mc:AlternateContent>
  <xr:revisionPtr revIDLastSave="0" documentId="8_{91DFB865-AF41-4831-A3D7-9C28B163CBFF}" xr6:coauthVersionLast="47" xr6:coauthVersionMax="47" xr10:uidLastSave="{00000000-0000-0000-0000-000000000000}"/>
  <bookViews>
    <workbookView xWindow="28680" yWindow="-120" windowWidth="29040" windowHeight="15720" xr2:uid="{A5F929C0-08C0-5F45-A5E7-38CCA4236CF6}"/>
  </bookViews>
  <sheets>
    <sheet name="Brendan Hou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2" l="1"/>
  <c r="G13" i="2"/>
  <c r="F13" i="2"/>
  <c r="C13" i="2" s="1"/>
  <c r="H26" i="2" l="1"/>
  <c r="H11" i="2"/>
  <c r="H31" i="2" l="1"/>
  <c r="H27" i="2"/>
  <c r="H10" i="2" l="1"/>
  <c r="H28" i="2" l="1"/>
  <c r="B6" i="2"/>
  <c r="F37" i="2" l="1"/>
  <c r="G37" i="2" s="1"/>
  <c r="D37" i="2"/>
  <c r="D42" i="2" s="1"/>
  <c r="G31" i="2"/>
  <c r="G28" i="2"/>
  <c r="F28" i="2"/>
  <c r="C28" i="2" s="1"/>
  <c r="G27" i="2"/>
  <c r="F27" i="2"/>
  <c r="C27" i="2" s="1"/>
  <c r="G26" i="2"/>
  <c r="G25" i="2"/>
  <c r="F25" i="2"/>
  <c r="C25" i="2"/>
  <c r="G24" i="2"/>
  <c r="F24" i="2"/>
  <c r="C24" i="2" s="1"/>
  <c r="G23" i="2"/>
  <c r="F23" i="2"/>
  <c r="C23" i="2" s="1"/>
  <c r="G22" i="2"/>
  <c r="F22" i="2"/>
  <c r="C22" i="2"/>
  <c r="G21" i="2"/>
  <c r="F21" i="2"/>
  <c r="C21" i="2" s="1"/>
  <c r="G20" i="2"/>
  <c r="F20" i="2"/>
  <c r="C20" i="2" s="1"/>
  <c r="G19" i="2"/>
  <c r="F19" i="2"/>
  <c r="C19" i="2" s="1"/>
  <c r="F15" i="2"/>
  <c r="H15" i="2" s="1"/>
  <c r="F14" i="2"/>
  <c r="H14" i="2" s="1"/>
  <c r="G12" i="2"/>
  <c r="F12" i="2"/>
  <c r="C12" i="2" s="1"/>
  <c r="G11" i="2"/>
  <c r="G10" i="2"/>
  <c r="H9" i="2"/>
  <c r="F31" i="2" l="1"/>
  <c r="C31" i="2" s="1"/>
  <c r="H37" i="2"/>
  <c r="G9" i="2"/>
  <c r="F9" i="2"/>
  <c r="G15" i="2"/>
  <c r="F10" i="2"/>
  <c r="C10" i="2" s="1"/>
  <c r="F11" i="2"/>
  <c r="C11" i="2" s="1"/>
  <c r="G14" i="2"/>
  <c r="F26" i="2"/>
  <c r="C26" i="2" s="1"/>
  <c r="C16" i="2" l="1"/>
  <c r="C32" i="2"/>
  <c r="F16" i="2" l="1"/>
  <c r="H16" i="2" s="1"/>
  <c r="G16" i="2" s="1"/>
  <c r="D17" i="2"/>
  <c r="F32" i="2"/>
  <c r="H32" i="2" s="1"/>
  <c r="G32" i="2" s="1"/>
  <c r="C33" i="2"/>
  <c r="F33" i="2" l="1"/>
  <c r="H33" i="2" s="1"/>
  <c r="G33" i="2" s="1"/>
  <c r="D34" i="2"/>
  <c r="D39" i="2" s="1"/>
  <c r="D41" i="2" s="1"/>
  <c r="D45" i="2" s="1"/>
  <c r="D47" i="2" l="1"/>
  <c r="D48" i="2" l="1"/>
  <c r="D51" i="2"/>
  <c r="D49" i="2" l="1"/>
  <c r="E49" i="2" s="1"/>
  <c r="E48" i="2"/>
</calcChain>
</file>

<file path=xl/sharedStrings.xml><?xml version="1.0" encoding="utf-8"?>
<sst xmlns="http://schemas.openxmlformats.org/spreadsheetml/2006/main" count="73" uniqueCount="72">
  <si>
    <t>Rent Breakdown</t>
  </si>
  <si>
    <t xml:space="preserve">Address </t>
  </si>
  <si>
    <t>Totals</t>
  </si>
  <si>
    <t>Assumptions and basis for calculation</t>
  </si>
  <si>
    <t xml:space="preserve">Local Authority </t>
  </si>
  <si>
    <t>Occupancy level</t>
  </si>
  <si>
    <t>Overnight rooms</t>
  </si>
  <si>
    <t>Annual Lease Rent</t>
  </si>
  <si>
    <t>Core Rent</t>
  </si>
  <si>
    <t>Weekly</t>
  </si>
  <si>
    <t>Monthly</t>
  </si>
  <si>
    <t>Yearly</t>
  </si>
  <si>
    <t>Contractual rent</t>
  </si>
  <si>
    <t>Base rent cost covers head landlord rent.</t>
  </si>
  <si>
    <t>Major works</t>
  </si>
  <si>
    <t>Repairs and Maintenance</t>
  </si>
  <si>
    <t>Council Tax (assumed 50% discount under Class U)</t>
  </si>
  <si>
    <t>Buildings Insurance</t>
  </si>
  <si>
    <t>Covers head landlord's insurance for FRI leases</t>
  </si>
  <si>
    <t>Management and Admin</t>
  </si>
  <si>
    <t>Overheads</t>
  </si>
  <si>
    <t>void and bad debt @ 7%</t>
  </si>
  <si>
    <t>HB Eligible Service Charges</t>
  </si>
  <si>
    <t>Gardening/Grounds maintenance</t>
  </si>
  <si>
    <t>Window Cleaning (external only, quarterly)</t>
  </si>
  <si>
    <t>Waste removal</t>
  </si>
  <si>
    <t>Not generally required in private sector schemes because waste collection is included in council tax.</t>
  </si>
  <si>
    <t>Fire alarm and emergency lights Servicing</t>
  </si>
  <si>
    <t>Annual charge for 6 monthly fire alarm and emergency lights servicing</t>
  </si>
  <si>
    <t>Fire fighting Equipment servicing</t>
  </si>
  <si>
    <t>Pest Control</t>
  </si>
  <si>
    <t>Communal cleaning</t>
  </si>
  <si>
    <t>Weekly visit to clean communal areas of buillding</t>
  </si>
  <si>
    <t>Furniture and household equipment</t>
  </si>
  <si>
    <t>Allows periodic replacement of communal furnishings as required.</t>
  </si>
  <si>
    <t>Laundry equipment and white goods replacement</t>
  </si>
  <si>
    <t>Redecoration of interior areas (5 year cycle)</t>
  </si>
  <si>
    <t>5-yearly provision for redecoration to be used as required</t>
  </si>
  <si>
    <t>Specialist Equipment</t>
  </si>
  <si>
    <t>Hoists and other large occupactional therapy aids</t>
  </si>
  <si>
    <t>CCTV maintenance and servicing</t>
  </si>
  <si>
    <t>Communal utilities</t>
  </si>
  <si>
    <t>Utilities for circulation areas, shared kitchens, living rooms etc</t>
  </si>
  <si>
    <t>Management cost of Service Charges</t>
  </si>
  <si>
    <t>Covers management and monitoring of above services</t>
  </si>
  <si>
    <t>Void and bad debt cover on service charges @ 7%</t>
  </si>
  <si>
    <t>Ineligible Services</t>
  </si>
  <si>
    <t>Utility bills (Gas, Water, Electricity, Sewerage)</t>
  </si>
  <si>
    <t xml:space="preserve">GROSS WEEKLY RENT </t>
  </si>
  <si>
    <t>Eligible for HB</t>
  </si>
  <si>
    <t xml:space="preserve">Ineligible for HB </t>
  </si>
  <si>
    <t xml:space="preserve">Charge for HL staff costs, tenancy management/HB Advice/Housing Management, rent management. </t>
  </si>
  <si>
    <t>Grass cutting/routine gardening. As per quote by HL contractor</t>
  </si>
  <si>
    <t>5% contribution to Sinking fund for major repairs, adaptations or amortised cost of safety adaptations</t>
  </si>
  <si>
    <t>Void cover component to be used as agreed between HL and provider</t>
  </si>
  <si>
    <t>As per quote by HL contractor</t>
  </si>
  <si>
    <t>Allows HL to provide responsive pest control services to address statutory pest nuisances when required.</t>
  </si>
  <si>
    <t>Cover CCTV Maintenance and servicing where these are provided by HL</t>
  </si>
  <si>
    <t>Utilities for tenant's own area - HL will pay the bills and recover the cost from the tenants via a fixed service charge</t>
  </si>
  <si>
    <t>£100 + Vat for annual servicing</t>
  </si>
  <si>
    <t>Charge for overheads including compliance, legal, accounting, development, office costs</t>
  </si>
  <si>
    <t>Brendan House</t>
  </si>
  <si>
    <t>Derbyshire</t>
  </si>
  <si>
    <t>Council Tax paid by landlord for each apartment, with 50% discount for Class U exemption</t>
  </si>
  <si>
    <t>Anticipated that individual appliances will need three yearly replacement</t>
  </si>
  <si>
    <t>£750pa allows for H&amp;S compliance checks, wear and tear, void maintenance, and emergency maintenance costs to be paid for.</t>
  </si>
  <si>
    <t> Total service charge </t>
  </si>
  <si>
    <t>We receive</t>
  </si>
  <si>
    <t>They keep</t>
  </si>
  <si>
    <t>Void service charge we pay</t>
  </si>
  <si>
    <t>less:  Council tax, buildings insurance</t>
  </si>
  <si>
    <t xml:space="preserve"> "void cost"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</si>
</sst>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(&quot;£&quot;* #,##0.00_);_(&quot;£&quot;* \(#,##0.00\);_(&quot;£&quot;* &quot;-&quot;??_);_(@_)"/>
    <numFmt numFmtId="165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FF6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/>
    <xf numFmtId="0" fontId="3" fillId="0" borderId="2" xfId="0" applyFont="1" applyFill="1" applyBorder="1"/>
    <xf numFmtId="44" fontId="3" fillId="0" borderId="2" xfId="0" applyNumberFormat="1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/>
    <xf numFmtId="0" fontId="2" fillId="0" borderId="4" xfId="0" applyFont="1" applyBorder="1"/>
    <xf numFmtId="0" fontId="3" fillId="2" borderId="5" xfId="0" applyFont="1" applyFill="1" applyBorder="1"/>
    <xf numFmtId="44" fontId="3" fillId="0" borderId="0" xfId="0" applyNumberFormat="1" applyFont="1" applyFill="1" applyBorder="1"/>
    <xf numFmtId="0" fontId="2" fillId="0" borderId="6" xfId="0" applyFont="1" applyFill="1" applyBorder="1" applyAlignment="1">
      <alignment horizontal="center" vertical="center"/>
    </xf>
    <xf numFmtId="44" fontId="3" fillId="0" borderId="0" xfId="0" applyNumberFormat="1" applyFont="1"/>
    <xf numFmtId="0" fontId="3" fillId="2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/>
    </xf>
    <xf numFmtId="44" fontId="3" fillId="0" borderId="0" xfId="0" applyNumberFormat="1" applyFont="1" applyFill="1" applyBorder="1" applyAlignment="1"/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44" fontId="2" fillId="0" borderId="0" xfId="0" applyNumberFormat="1" applyFont="1" applyFill="1" applyBorder="1"/>
    <xf numFmtId="0" fontId="3" fillId="0" borderId="4" xfId="0" applyFont="1" applyBorder="1"/>
    <xf numFmtId="164" fontId="3" fillId="0" borderId="0" xfId="1" applyNumberFormat="1" applyFont="1" applyFill="1" applyBorder="1" applyAlignment="1">
      <alignment horizontal="left" vertical="top" wrapText="1"/>
    </xf>
    <xf numFmtId="44" fontId="3" fillId="0" borderId="8" xfId="1" applyNumberFormat="1" applyFont="1" applyFill="1" applyBorder="1"/>
    <xf numFmtId="44" fontId="2" fillId="0" borderId="6" xfId="0" applyNumberFormat="1" applyFont="1" applyFill="1" applyBorder="1" applyAlignment="1">
      <alignment horizontal="center" vertical="center"/>
    </xf>
    <xf numFmtId="44" fontId="2" fillId="0" borderId="9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/>
    <xf numFmtId="4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0" xfId="0" applyFont="1" applyFill="1" applyBorder="1" applyAlignment="1"/>
    <xf numFmtId="164" fontId="2" fillId="0" borderId="5" xfId="1" applyFont="1" applyBorder="1"/>
    <xf numFmtId="0" fontId="3" fillId="0" borderId="0" xfId="0" applyNumberFormat="1" applyFont="1" applyFill="1" applyAlignment="1"/>
    <xf numFmtId="44" fontId="3" fillId="0" borderId="0" xfId="0" applyNumberFormat="1" applyFont="1" applyAlignment="1"/>
    <xf numFmtId="164" fontId="2" fillId="0" borderId="0" xfId="1" applyFont="1" applyFill="1" applyBorder="1" applyAlignment="1">
      <alignment horizontal="center" vertical="center"/>
    </xf>
    <xf numFmtId="164" fontId="2" fillId="0" borderId="6" xfId="1" applyFont="1" applyFill="1" applyBorder="1" applyAlignment="1">
      <alignment horizontal="center" vertical="center"/>
    </xf>
    <xf numFmtId="44" fontId="2" fillId="0" borderId="0" xfId="0" applyNumberFormat="1" applyFont="1" applyFill="1" applyBorder="1" applyAlignment="1">
      <alignment horizontal="center" vertical="center" wrapText="1"/>
    </xf>
    <xf numFmtId="44" fontId="4" fillId="0" borderId="0" xfId="0" applyNumberFormat="1" applyFont="1" applyFill="1" applyAlignment="1">
      <alignment horizontal="center" vertical="center"/>
    </xf>
    <xf numFmtId="44" fontId="3" fillId="0" borderId="0" xfId="1" applyNumberFormat="1" applyFont="1" applyFill="1" applyBorder="1"/>
    <xf numFmtId="164" fontId="2" fillId="0" borderId="5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44" fontId="4" fillId="0" borderId="5" xfId="0" applyNumberFormat="1" applyFont="1" applyFill="1" applyBorder="1" applyAlignment="1">
      <alignment horizontal="center" vertical="center"/>
    </xf>
    <xf numFmtId="164" fontId="5" fillId="0" borderId="0" xfId="0" applyNumberFormat="1" applyFont="1"/>
    <xf numFmtId="44" fontId="4" fillId="0" borderId="1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6" fillId="0" borderId="0" xfId="0" applyFont="1"/>
    <xf numFmtId="0" fontId="3" fillId="0" borderId="6" xfId="0" applyFont="1" applyFill="1" applyBorder="1"/>
    <xf numFmtId="44" fontId="4" fillId="0" borderId="7" xfId="0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5" xfId="0" applyFont="1" applyBorder="1"/>
    <xf numFmtId="44" fontId="3" fillId="0" borderId="8" xfId="0" applyNumberFormat="1" applyFont="1" applyFill="1" applyBorder="1"/>
    <xf numFmtId="44" fontId="2" fillId="0" borderId="5" xfId="0" applyNumberFormat="1" applyFont="1" applyFill="1" applyBorder="1" applyAlignment="1">
      <alignment horizontal="center" vertical="center" wrapText="1"/>
    </xf>
    <xf numFmtId="164" fontId="2" fillId="0" borderId="0" xfId="1" applyFont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4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/>
    <xf numFmtId="44" fontId="3" fillId="0" borderId="0" xfId="0" applyNumberFormat="1" applyFont="1" applyBorder="1"/>
    <xf numFmtId="164" fontId="2" fillId="3" borderId="5" xfId="1" applyFont="1" applyFill="1" applyBorder="1" applyAlignment="1">
      <alignment horizontal="center" vertical="center"/>
    </xf>
    <xf numFmtId="0" fontId="3" fillId="0" borderId="4" xfId="0" applyFont="1" applyFill="1" applyBorder="1"/>
    <xf numFmtId="0" fontId="3" fillId="0" borderId="0" xfId="0" applyFont="1" applyBorder="1" applyAlignment="1">
      <alignment wrapText="1"/>
    </xf>
    <xf numFmtId="164" fontId="3" fillId="0" borderId="0" xfId="0" applyNumberFormat="1" applyFont="1" applyFill="1" applyBorder="1" applyAlignment="1">
      <alignment wrapText="1"/>
    </xf>
    <xf numFmtId="164" fontId="2" fillId="0" borderId="0" xfId="0" applyNumberFormat="1" applyFont="1" applyBorder="1" applyAlignment="1">
      <alignment horizontal="center" vertical="center"/>
    </xf>
    <xf numFmtId="165" fontId="2" fillId="0" borderId="6" xfId="2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4" fontId="2" fillId="0" borderId="5" xfId="1" applyFont="1" applyFill="1" applyBorder="1"/>
    <xf numFmtId="0" fontId="5" fillId="0" borderId="0" xfId="0" applyFont="1"/>
    <xf numFmtId="0" fontId="7" fillId="0" borderId="0" xfId="0" applyFont="1"/>
    <xf numFmtId="9" fontId="7" fillId="0" borderId="0" xfId="0" applyNumberFormat="1" applyFont="1"/>
    <xf numFmtId="164" fontId="7" fillId="0" borderId="0" xfId="0" applyNumberFormat="1" applyFont="1"/>
    <xf numFmtId="164" fontId="7" fillId="0" borderId="11" xfId="0" applyNumberFormat="1" applyFont="1" applyBorder="1"/>
    <xf numFmtId="165" fontId="5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E46A-54BE-1D48-BB09-27A9A2F0BCD8}">
  <dimension ref="A1:K51"/>
  <sheetViews>
    <sheetView tabSelected="1" topLeftCell="A13" workbookViewId="0">
      <selection activeCell="E49" sqref="E49"/>
    </sheetView>
  </sheetViews>
  <sheetFormatPr defaultColWidth="8.796875" defaultRowHeight="13.8" x14ac:dyDescent="0.3"/>
  <cols>
    <col min="1" max="1" width="22.296875" style="22" customWidth="1"/>
    <col min="2" max="2" width="40.5" style="46" bestFit="1" customWidth="1"/>
    <col min="3" max="3" width="11.5" style="60" customWidth="1"/>
    <col min="4" max="4" width="12.09765625" style="67" customWidth="1"/>
    <col min="5" max="5" width="9.296875" style="68" customWidth="1"/>
    <col min="6" max="7" width="12.5" style="67" customWidth="1"/>
    <col min="8" max="8" width="13.5" style="6" bestFit="1" customWidth="1"/>
    <col min="9" max="9" width="88.296875" style="7" customWidth="1"/>
    <col min="10" max="16384" width="8.796875" style="8"/>
  </cols>
  <sheetData>
    <row r="1" spans="1:11" ht="14.4" thickBot="1" x14ac:dyDescent="0.35">
      <c r="A1" s="1" t="s">
        <v>0</v>
      </c>
      <c r="B1" s="2"/>
      <c r="C1" s="3"/>
      <c r="D1" s="4"/>
      <c r="E1" s="5"/>
      <c r="F1" s="6"/>
      <c r="G1" s="6"/>
    </row>
    <row r="2" spans="1:11" ht="14.4" thickBot="1" x14ac:dyDescent="0.35">
      <c r="A2" s="9" t="s">
        <v>1</v>
      </c>
      <c r="B2" s="10" t="s">
        <v>61</v>
      </c>
      <c r="C2" s="11"/>
      <c r="D2" s="6"/>
      <c r="E2" s="12"/>
      <c r="F2" s="6"/>
      <c r="G2" s="6" t="s">
        <v>2</v>
      </c>
      <c r="I2" s="7" t="s">
        <v>3</v>
      </c>
      <c r="K2" s="13"/>
    </row>
    <row r="3" spans="1:11" ht="14.4" thickBot="1" x14ac:dyDescent="0.35">
      <c r="A3" s="9" t="s">
        <v>4</v>
      </c>
      <c r="B3" s="10" t="s">
        <v>62</v>
      </c>
      <c r="C3" s="11"/>
      <c r="D3" s="6"/>
      <c r="E3" s="12"/>
      <c r="F3" s="6"/>
      <c r="G3" s="6"/>
      <c r="K3" s="13"/>
    </row>
    <row r="4" spans="1:11" ht="14.4" thickBot="1" x14ac:dyDescent="0.35">
      <c r="A4" s="9" t="s">
        <v>5</v>
      </c>
      <c r="B4" s="14">
        <v>4</v>
      </c>
      <c r="C4" s="11"/>
      <c r="D4" s="6"/>
      <c r="E4" s="12"/>
      <c r="F4" s="6"/>
      <c r="G4" s="6"/>
      <c r="I4" s="15"/>
      <c r="K4" s="13"/>
    </row>
    <row r="5" spans="1:11" ht="14.4" thickBot="1" x14ac:dyDescent="0.35">
      <c r="A5" s="9" t="s">
        <v>6</v>
      </c>
      <c r="B5" s="16">
        <v>0</v>
      </c>
      <c r="C5" s="11"/>
      <c r="D5" s="6"/>
      <c r="E5" s="12"/>
      <c r="F5" s="6"/>
      <c r="G5" s="6"/>
      <c r="I5" s="15"/>
      <c r="K5" s="13"/>
    </row>
    <row r="6" spans="1:11" x14ac:dyDescent="0.3">
      <c r="A6" s="9" t="s">
        <v>7</v>
      </c>
      <c r="B6" s="17">
        <f>796*52.14</f>
        <v>41503.440000000002</v>
      </c>
      <c r="C6" s="11"/>
      <c r="D6" s="6"/>
      <c r="E6" s="12"/>
      <c r="F6" s="6"/>
      <c r="G6" s="6"/>
      <c r="H6" s="18"/>
      <c r="I6" s="15"/>
      <c r="K6" s="13"/>
    </row>
    <row r="7" spans="1:11" x14ac:dyDescent="0.3">
      <c r="A7" s="9"/>
      <c r="B7" s="19"/>
      <c r="C7" s="11"/>
      <c r="D7" s="6"/>
      <c r="E7" s="12"/>
      <c r="F7" s="6"/>
      <c r="G7" s="6"/>
      <c r="I7" s="8"/>
      <c r="K7" s="13"/>
    </row>
    <row r="8" spans="1:11" ht="14.4" thickBot="1" x14ac:dyDescent="0.35">
      <c r="A8" s="9" t="s">
        <v>8</v>
      </c>
      <c r="B8" s="20"/>
      <c r="C8" s="21"/>
      <c r="D8" s="6"/>
      <c r="E8" s="12"/>
      <c r="F8" s="6" t="s">
        <v>9</v>
      </c>
      <c r="G8" s="6" t="s">
        <v>10</v>
      </c>
      <c r="H8" s="6" t="s">
        <v>11</v>
      </c>
      <c r="K8" s="13"/>
    </row>
    <row r="9" spans="1:11" ht="14.4" thickBot="1" x14ac:dyDescent="0.35">
      <c r="B9" s="23" t="s">
        <v>12</v>
      </c>
      <c r="C9" s="24">
        <v>199</v>
      </c>
      <c r="D9" s="6"/>
      <c r="E9" s="25"/>
      <c r="F9" s="26">
        <f>H9/52</f>
        <v>798.14307692307693</v>
      </c>
      <c r="G9" s="27">
        <f>H9/12</f>
        <v>3458.6200000000003</v>
      </c>
      <c r="H9" s="28">
        <f>B6</f>
        <v>41503.440000000002</v>
      </c>
      <c r="I9" s="29" t="s">
        <v>13</v>
      </c>
      <c r="J9" s="30"/>
      <c r="K9" s="13"/>
    </row>
    <row r="10" spans="1:11" x14ac:dyDescent="0.3">
      <c r="B10" s="23" t="s">
        <v>14</v>
      </c>
      <c r="C10" s="24">
        <f>ROUND((F10/$B$4), 2)</f>
        <v>9.98</v>
      </c>
      <c r="D10" s="6"/>
      <c r="E10" s="25"/>
      <c r="F10" s="28">
        <f>H10/52</f>
        <v>39.906730769230769</v>
      </c>
      <c r="G10" s="28">
        <f>H10/12</f>
        <v>172.92916666666667</v>
      </c>
      <c r="H10" s="28">
        <f>6225.45/3</f>
        <v>2075.15</v>
      </c>
      <c r="I10" s="29" t="s">
        <v>53</v>
      </c>
      <c r="J10" s="30"/>
      <c r="K10" s="13"/>
    </row>
    <row r="11" spans="1:11" ht="14.4" thickBot="1" x14ac:dyDescent="0.35">
      <c r="B11" s="23" t="s">
        <v>15</v>
      </c>
      <c r="C11" s="24">
        <f>ROUND((F11/$B$4), 2)</f>
        <v>14.42</v>
      </c>
      <c r="D11" s="6"/>
      <c r="E11" s="25"/>
      <c r="F11" s="28">
        <f>H11/52</f>
        <v>57.692307692307693</v>
      </c>
      <c r="G11" s="28">
        <f>H11/12</f>
        <v>250</v>
      </c>
      <c r="H11" s="28">
        <f>B4*750</f>
        <v>3000</v>
      </c>
      <c r="I11" s="29" t="s">
        <v>65</v>
      </c>
      <c r="J11" s="30"/>
      <c r="K11" s="13"/>
    </row>
    <row r="12" spans="1:11" s="7" customFormat="1" ht="14.4" thickBot="1" x14ac:dyDescent="0.35">
      <c r="A12" s="31"/>
      <c r="B12" s="23" t="s">
        <v>16</v>
      </c>
      <c r="C12" s="24">
        <f t="shared" ref="C12" si="0">ROUND((F12/$B$4), 2)</f>
        <v>13.22</v>
      </c>
      <c r="D12" s="32"/>
      <c r="E12" s="12"/>
      <c r="F12" s="28">
        <f>H12/52</f>
        <v>52.884615384615387</v>
      </c>
      <c r="G12" s="28">
        <f>H12/12</f>
        <v>229.16666666666666</v>
      </c>
      <c r="H12" s="33">
        <v>2750</v>
      </c>
      <c r="I12" s="34" t="s">
        <v>63</v>
      </c>
      <c r="K12" s="35"/>
    </row>
    <row r="13" spans="1:11" ht="14.4" thickBot="1" x14ac:dyDescent="0.35">
      <c r="B13" s="23" t="s">
        <v>17</v>
      </c>
      <c r="C13" s="24">
        <f t="shared" ref="C13" si="1">ROUND((F13/$B$4), 2)</f>
        <v>4.9000000000000004</v>
      </c>
      <c r="D13" s="32"/>
      <c r="E13" s="12"/>
      <c r="F13" s="28">
        <f>H13/52</f>
        <v>19.596153846153847</v>
      </c>
      <c r="G13" s="28">
        <f>H13/12</f>
        <v>84.916666666666671</v>
      </c>
      <c r="H13" s="70">
        <v>1019</v>
      </c>
      <c r="I13" s="29" t="s">
        <v>18</v>
      </c>
      <c r="K13" s="13"/>
    </row>
    <row r="14" spans="1:11" x14ac:dyDescent="0.3">
      <c r="A14" s="9"/>
      <c r="B14" s="23" t="s">
        <v>19</v>
      </c>
      <c r="C14" s="24">
        <v>15</v>
      </c>
      <c r="D14" s="36"/>
      <c r="E14" s="37"/>
      <c r="F14" s="38">
        <f>C14*B4</f>
        <v>60</v>
      </c>
      <c r="G14" s="38">
        <f>F14*52/12</f>
        <v>260</v>
      </c>
      <c r="H14" s="39">
        <f>F14*52</f>
        <v>3120</v>
      </c>
      <c r="I14" s="29" t="s">
        <v>51</v>
      </c>
      <c r="K14" s="13"/>
    </row>
    <row r="15" spans="1:11" x14ac:dyDescent="0.3">
      <c r="A15" s="9"/>
      <c r="B15" s="23" t="s">
        <v>20</v>
      </c>
      <c r="C15" s="24">
        <v>12.5</v>
      </c>
      <c r="D15" s="36"/>
      <c r="E15" s="37"/>
      <c r="F15" s="38">
        <f>C15*$B$4</f>
        <v>50</v>
      </c>
      <c r="G15" s="38">
        <f>F15*52/12</f>
        <v>216.66666666666666</v>
      </c>
      <c r="H15" s="39">
        <f>F15*52</f>
        <v>2600</v>
      </c>
      <c r="I15" s="29" t="s">
        <v>60</v>
      </c>
      <c r="K15" s="13"/>
    </row>
    <row r="16" spans="1:11" ht="14.4" thickBot="1" x14ac:dyDescent="0.35">
      <c r="A16" s="31"/>
      <c r="B16" s="23" t="s">
        <v>21</v>
      </c>
      <c r="C16" s="24">
        <f>ROUND(SUM(C9:C15)*0.07,2)</f>
        <v>18.829999999999998</v>
      </c>
      <c r="D16" s="6"/>
      <c r="E16" s="12"/>
      <c r="F16" s="38">
        <f>C16*$B$4</f>
        <v>75.319999999999993</v>
      </c>
      <c r="G16" s="38">
        <f>H16/12</f>
        <v>326.3866666666666</v>
      </c>
      <c r="H16" s="38">
        <f>F16*52</f>
        <v>3916.6399999999994</v>
      </c>
      <c r="I16" s="29" t="s">
        <v>54</v>
      </c>
      <c r="K16" s="13"/>
    </row>
    <row r="17" spans="1:11" ht="14.4" thickBot="1" x14ac:dyDescent="0.35">
      <c r="B17" s="20"/>
      <c r="C17" s="40"/>
      <c r="D17" s="41">
        <f>SUM(C9:C16)</f>
        <v>287.84999999999997</v>
      </c>
      <c r="E17" s="37"/>
      <c r="F17" s="38"/>
      <c r="G17" s="38"/>
      <c r="H17" s="42"/>
      <c r="I17" s="29"/>
      <c r="K17" s="13"/>
    </row>
    <row r="18" spans="1:11" ht="14.4" thickBot="1" x14ac:dyDescent="0.35">
      <c r="A18" s="9" t="s">
        <v>22</v>
      </c>
      <c r="B18" s="20"/>
      <c r="C18" s="40"/>
      <c r="D18" s="36"/>
      <c r="E18" s="37"/>
      <c r="F18" s="38"/>
      <c r="G18" s="38"/>
      <c r="H18" s="38"/>
      <c r="I18" s="29"/>
      <c r="K18" s="13"/>
    </row>
    <row r="19" spans="1:11" ht="14.4" thickBot="1" x14ac:dyDescent="0.35">
      <c r="A19" s="9"/>
      <c r="B19" s="20" t="s">
        <v>23</v>
      </c>
      <c r="C19" s="24">
        <f t="shared" ref="C19:C27" si="2">ROUND((F19/$B$4), 2)</f>
        <v>5.53</v>
      </c>
      <c r="D19" s="36"/>
      <c r="E19" s="37"/>
      <c r="F19" s="38">
        <f>H19/52</f>
        <v>22.115384615384617</v>
      </c>
      <c r="G19" s="38">
        <f t="shared" ref="G19:G28" si="3">H19/12</f>
        <v>95.833333333333329</v>
      </c>
      <c r="H19" s="43">
        <v>1150</v>
      </c>
      <c r="I19" s="29" t="s">
        <v>52</v>
      </c>
      <c r="J19" s="44"/>
      <c r="K19" s="13"/>
    </row>
    <row r="20" spans="1:11" ht="14.4" thickBot="1" x14ac:dyDescent="0.35">
      <c r="A20" s="9"/>
      <c r="B20" s="20" t="s">
        <v>24</v>
      </c>
      <c r="C20" s="24">
        <f t="shared" si="2"/>
        <v>0.72</v>
      </c>
      <c r="D20" s="36"/>
      <c r="E20" s="37"/>
      <c r="F20" s="38">
        <f t="shared" ref="F20:F28" si="4">H20/52</f>
        <v>2.8846153846153846</v>
      </c>
      <c r="G20" s="38">
        <f t="shared" si="3"/>
        <v>12.5</v>
      </c>
      <c r="H20" s="45">
        <v>150</v>
      </c>
      <c r="I20" s="29" t="s">
        <v>55</v>
      </c>
      <c r="J20" s="44"/>
      <c r="K20" s="13"/>
    </row>
    <row r="21" spans="1:11" ht="14.4" thickBot="1" x14ac:dyDescent="0.35">
      <c r="A21" s="9"/>
      <c r="B21" s="20" t="s">
        <v>25</v>
      </c>
      <c r="C21" s="24">
        <f t="shared" si="2"/>
        <v>0</v>
      </c>
      <c r="D21" s="36"/>
      <c r="E21" s="37"/>
      <c r="F21" s="38">
        <f t="shared" si="4"/>
        <v>0</v>
      </c>
      <c r="G21" s="38">
        <f t="shared" si="3"/>
        <v>0</v>
      </c>
      <c r="H21" s="45">
        <v>0</v>
      </c>
      <c r="I21" s="29" t="s">
        <v>26</v>
      </c>
      <c r="J21" s="44"/>
      <c r="K21" s="13"/>
    </row>
    <row r="22" spans="1:11" ht="14.4" thickBot="1" x14ac:dyDescent="0.35">
      <c r="A22" s="9"/>
      <c r="B22" s="46" t="s">
        <v>27</v>
      </c>
      <c r="C22" s="24">
        <f t="shared" si="2"/>
        <v>1.5</v>
      </c>
      <c r="D22" s="6"/>
      <c r="E22" s="12"/>
      <c r="F22" s="38">
        <f t="shared" si="4"/>
        <v>6</v>
      </c>
      <c r="G22" s="38">
        <f t="shared" si="3"/>
        <v>26</v>
      </c>
      <c r="H22" s="45">
        <v>312</v>
      </c>
      <c r="I22" s="29" t="s">
        <v>28</v>
      </c>
      <c r="J22" s="44"/>
      <c r="K22" s="13"/>
    </row>
    <row r="23" spans="1:11" ht="14.4" thickBot="1" x14ac:dyDescent="0.35">
      <c r="A23" s="9"/>
      <c r="B23" s="20" t="s">
        <v>29</v>
      </c>
      <c r="C23" s="24">
        <f t="shared" si="2"/>
        <v>0.57999999999999996</v>
      </c>
      <c r="D23" s="6"/>
      <c r="E23" s="12"/>
      <c r="F23" s="38">
        <f t="shared" si="4"/>
        <v>2.3076923076923075</v>
      </c>
      <c r="G23" s="38">
        <f t="shared" si="3"/>
        <v>10</v>
      </c>
      <c r="H23" s="45">
        <v>120</v>
      </c>
      <c r="I23" s="29" t="s">
        <v>59</v>
      </c>
      <c r="J23" s="44"/>
      <c r="K23" s="13"/>
    </row>
    <row r="24" spans="1:11" ht="14.4" thickBot="1" x14ac:dyDescent="0.35">
      <c r="A24" s="9"/>
      <c r="B24" s="20" t="s">
        <v>30</v>
      </c>
      <c r="C24" s="24">
        <f t="shared" si="2"/>
        <v>0.55000000000000004</v>
      </c>
      <c r="D24" s="36"/>
      <c r="E24" s="37"/>
      <c r="F24" s="38">
        <f t="shared" si="4"/>
        <v>2.2115384615384617</v>
      </c>
      <c r="G24" s="38">
        <f t="shared" si="3"/>
        <v>9.5833333333333339</v>
      </c>
      <c r="H24" s="43">
        <v>115</v>
      </c>
      <c r="I24" s="47" t="s">
        <v>56</v>
      </c>
      <c r="J24" s="44"/>
      <c r="K24" s="13"/>
    </row>
    <row r="25" spans="1:11" ht="14.4" thickBot="1" x14ac:dyDescent="0.35">
      <c r="A25" s="9"/>
      <c r="B25" s="20" t="s">
        <v>31</v>
      </c>
      <c r="C25" s="24">
        <f t="shared" si="2"/>
        <v>0</v>
      </c>
      <c r="D25" s="36"/>
      <c r="E25" s="37"/>
      <c r="F25" s="38">
        <f t="shared" si="4"/>
        <v>0</v>
      </c>
      <c r="G25" s="38">
        <f t="shared" si="3"/>
        <v>0</v>
      </c>
      <c r="H25" s="43"/>
      <c r="I25" s="29" t="s">
        <v>32</v>
      </c>
      <c r="J25" s="44"/>
      <c r="K25" s="13"/>
    </row>
    <row r="26" spans="1:11" ht="14.4" thickBot="1" x14ac:dyDescent="0.35">
      <c r="A26" s="9"/>
      <c r="B26" s="46" t="s">
        <v>33</v>
      </c>
      <c r="C26" s="24">
        <f t="shared" si="2"/>
        <v>2.88</v>
      </c>
      <c r="D26" s="36"/>
      <c r="E26" s="37"/>
      <c r="F26" s="38">
        <f t="shared" si="4"/>
        <v>11.538461538461538</v>
      </c>
      <c r="G26" s="38">
        <f t="shared" si="3"/>
        <v>50</v>
      </c>
      <c r="H26" s="43">
        <f>150*B4</f>
        <v>600</v>
      </c>
      <c r="I26" s="29" t="s">
        <v>34</v>
      </c>
      <c r="J26" s="44"/>
      <c r="K26" s="13"/>
    </row>
    <row r="27" spans="1:11" ht="14.4" thickBot="1" x14ac:dyDescent="0.35">
      <c r="A27" s="9"/>
      <c r="B27" s="20" t="s">
        <v>35</v>
      </c>
      <c r="C27" s="24">
        <f t="shared" si="2"/>
        <v>3.21</v>
      </c>
      <c r="D27" s="36"/>
      <c r="E27" s="48"/>
      <c r="F27" s="38">
        <f t="shared" si="4"/>
        <v>12.820512820512819</v>
      </c>
      <c r="G27" s="38">
        <f t="shared" si="3"/>
        <v>55.55555555555555</v>
      </c>
      <c r="H27" s="49">
        <f>2000/3</f>
        <v>666.66666666666663</v>
      </c>
      <c r="I27" s="29" t="s">
        <v>64</v>
      </c>
      <c r="J27" s="44"/>
      <c r="K27" s="13"/>
    </row>
    <row r="28" spans="1:11" ht="14.4" thickBot="1" x14ac:dyDescent="0.35">
      <c r="B28" s="20" t="s">
        <v>36</v>
      </c>
      <c r="C28" s="24">
        <f>ROUND((F28/$B$4), 2)</f>
        <v>4.04</v>
      </c>
      <c r="D28" s="36"/>
      <c r="E28" s="37"/>
      <c r="F28" s="38">
        <f t="shared" si="4"/>
        <v>16.153846153846153</v>
      </c>
      <c r="G28" s="38">
        <f t="shared" si="3"/>
        <v>70</v>
      </c>
      <c r="H28" s="43">
        <f>1050/5*B4</f>
        <v>840</v>
      </c>
      <c r="I28" s="29" t="s">
        <v>37</v>
      </c>
      <c r="J28" s="44"/>
      <c r="K28" s="13"/>
    </row>
    <row r="29" spans="1:11" ht="14.4" thickBot="1" x14ac:dyDescent="0.35">
      <c r="B29" s="46" t="s">
        <v>38</v>
      </c>
      <c r="C29" s="50"/>
      <c r="D29" s="46"/>
      <c r="E29" s="51"/>
      <c r="F29" s="8"/>
      <c r="G29" s="8"/>
      <c r="H29" s="52"/>
      <c r="I29" s="8" t="s">
        <v>39</v>
      </c>
      <c r="J29" s="44"/>
      <c r="K29" s="13"/>
    </row>
    <row r="30" spans="1:11" ht="14.4" thickBot="1" x14ac:dyDescent="0.35">
      <c r="B30" s="46" t="s">
        <v>40</v>
      </c>
      <c r="C30" s="50"/>
      <c r="D30" s="46"/>
      <c r="E30" s="51"/>
      <c r="F30" s="8"/>
      <c r="G30" s="8"/>
      <c r="H30" s="53"/>
      <c r="I30" s="8" t="s">
        <v>57</v>
      </c>
      <c r="J30" s="44"/>
      <c r="K30" s="13"/>
    </row>
    <row r="31" spans="1:11" ht="14.4" thickBot="1" x14ac:dyDescent="0.35">
      <c r="B31" s="20" t="s">
        <v>41</v>
      </c>
      <c r="C31" s="24">
        <f>ROUND((F31/$B$4), 2)</f>
        <v>2.5</v>
      </c>
      <c r="D31" s="36"/>
      <c r="E31" s="37"/>
      <c r="F31" s="38">
        <f>H31/52</f>
        <v>10</v>
      </c>
      <c r="G31" s="38">
        <f>H31/12</f>
        <v>43.333333333333336</v>
      </c>
      <c r="H31" s="43">
        <f>2.5*52*B4</f>
        <v>520</v>
      </c>
      <c r="I31" s="29" t="s">
        <v>42</v>
      </c>
      <c r="J31" s="44"/>
      <c r="K31" s="13"/>
    </row>
    <row r="32" spans="1:11" x14ac:dyDescent="0.3">
      <c r="B32" s="20" t="s">
        <v>43</v>
      </c>
      <c r="C32" s="24">
        <f>ROUND(SUM(C19:C30)*0.15,2)</f>
        <v>2.85</v>
      </c>
      <c r="D32" s="36"/>
      <c r="E32" s="37"/>
      <c r="F32" s="38">
        <f>C32*B4</f>
        <v>11.4</v>
      </c>
      <c r="G32" s="38">
        <f>H32/12</f>
        <v>49.400000000000006</v>
      </c>
      <c r="H32" s="39">
        <f>F32*52</f>
        <v>592.80000000000007</v>
      </c>
      <c r="I32" s="29" t="s">
        <v>44</v>
      </c>
      <c r="K32" s="13"/>
    </row>
    <row r="33" spans="1:11" ht="14.4" thickBot="1" x14ac:dyDescent="0.35">
      <c r="B33" s="20" t="s">
        <v>45</v>
      </c>
      <c r="C33" s="24">
        <f>ROUND(SUM(C19:C32)*0.07,2)</f>
        <v>1.71</v>
      </c>
      <c r="D33" s="36"/>
      <c r="E33" s="37"/>
      <c r="F33" s="38">
        <f>C33*$B$4</f>
        <v>6.84</v>
      </c>
      <c r="G33" s="38">
        <f>H33/12</f>
        <v>29.64</v>
      </c>
      <c r="H33" s="39">
        <f>F33*52</f>
        <v>355.68</v>
      </c>
      <c r="I33" s="29" t="s">
        <v>54</v>
      </c>
      <c r="K33" s="13"/>
    </row>
    <row r="34" spans="1:11" ht="14.4" thickBot="1" x14ac:dyDescent="0.35">
      <c r="A34" s="9"/>
      <c r="B34" s="20"/>
      <c r="C34" s="40"/>
      <c r="D34" s="41">
        <f>SUM(C19:C33)</f>
        <v>26.070000000000004</v>
      </c>
      <c r="E34" s="37"/>
      <c r="F34" s="38"/>
      <c r="G34" s="38"/>
      <c r="H34" s="39"/>
      <c r="I34" s="29"/>
      <c r="K34" s="13"/>
    </row>
    <row r="35" spans="1:11" s="46" customFormat="1" x14ac:dyDescent="0.3">
      <c r="A35" s="9" t="s">
        <v>46</v>
      </c>
      <c r="B35" s="20"/>
      <c r="C35" s="11"/>
      <c r="D35" s="36"/>
      <c r="E35" s="37"/>
      <c r="F35" s="38"/>
      <c r="G35" s="38"/>
      <c r="H35" s="38"/>
      <c r="I35" s="29"/>
      <c r="J35" s="8"/>
      <c r="K35" s="13"/>
    </row>
    <row r="36" spans="1:11" s="46" customFormat="1" ht="14.4" thickBot="1" x14ac:dyDescent="0.35">
      <c r="A36" s="9"/>
      <c r="B36" s="20" t="s">
        <v>47</v>
      </c>
      <c r="C36" s="54">
        <v>20</v>
      </c>
      <c r="D36" s="36"/>
      <c r="E36" s="37"/>
      <c r="F36" s="38"/>
      <c r="G36" s="38"/>
      <c r="H36" s="38"/>
      <c r="I36" s="29" t="s">
        <v>58</v>
      </c>
      <c r="J36" s="8"/>
      <c r="K36" s="13"/>
    </row>
    <row r="37" spans="1:11" s="46" customFormat="1" ht="14.4" thickBot="1" x14ac:dyDescent="0.35">
      <c r="A37" s="9"/>
      <c r="B37" s="20"/>
      <c r="C37" s="11"/>
      <c r="D37" s="41">
        <f>C36</f>
        <v>20</v>
      </c>
      <c r="E37" s="37"/>
      <c r="F37" s="38">
        <f>C36*$B$4</f>
        <v>80</v>
      </c>
      <c r="G37" s="38">
        <f>F37*52/12</f>
        <v>346.66666666666669</v>
      </c>
      <c r="H37" s="55">
        <f>F37*52.14</f>
        <v>4171.2</v>
      </c>
      <c r="I37" s="29"/>
      <c r="J37" s="8"/>
      <c r="K37" s="13"/>
    </row>
    <row r="38" spans="1:11" s="46" customFormat="1" ht="14.4" thickBot="1" x14ac:dyDescent="0.35">
      <c r="A38" s="22"/>
      <c r="C38" s="40"/>
      <c r="D38" s="56"/>
      <c r="E38" s="57"/>
      <c r="F38" s="58"/>
      <c r="G38" s="58"/>
      <c r="H38" s="38"/>
      <c r="I38" s="59"/>
      <c r="J38" s="8"/>
      <c r="K38" s="13"/>
    </row>
    <row r="39" spans="1:11" s="46" customFormat="1" ht="14.4" thickBot="1" x14ac:dyDescent="0.35">
      <c r="A39" s="9" t="s">
        <v>48</v>
      </c>
      <c r="C39" s="60"/>
      <c r="D39" s="61">
        <f>SUM(D34+D17+D37)</f>
        <v>333.91999999999996</v>
      </c>
      <c r="E39" s="57"/>
      <c r="F39" s="58"/>
      <c r="G39" s="58"/>
      <c r="H39" s="38"/>
      <c r="I39" s="59"/>
      <c r="J39" s="8"/>
      <c r="K39" s="13"/>
    </row>
    <row r="40" spans="1:11" x14ac:dyDescent="0.3">
      <c r="A40" s="9"/>
      <c r="D40" s="56"/>
      <c r="E40" s="57"/>
      <c r="F40" s="58"/>
      <c r="G40" s="58"/>
      <c r="H40" s="38"/>
      <c r="I40" s="59"/>
    </row>
    <row r="41" spans="1:11" x14ac:dyDescent="0.3">
      <c r="A41" s="22" t="s">
        <v>49</v>
      </c>
      <c r="D41" s="56">
        <f>D39-D37</f>
        <v>313.91999999999996</v>
      </c>
      <c r="E41" s="57"/>
      <c r="F41" s="58"/>
      <c r="G41" s="58"/>
      <c r="H41" s="38"/>
      <c r="I41" s="59"/>
    </row>
    <row r="42" spans="1:11" x14ac:dyDescent="0.3">
      <c r="A42" s="62" t="s">
        <v>50</v>
      </c>
      <c r="B42" s="20"/>
      <c r="C42" s="11"/>
      <c r="D42" s="28">
        <f>D37</f>
        <v>20</v>
      </c>
      <c r="E42" s="12"/>
      <c r="F42" s="58"/>
      <c r="G42" s="63"/>
      <c r="H42" s="64"/>
    </row>
    <row r="43" spans="1:11" x14ac:dyDescent="0.3">
      <c r="C43" s="46"/>
      <c r="D43" s="65"/>
      <c r="E43" s="66"/>
    </row>
    <row r="44" spans="1:11" x14ac:dyDescent="0.3">
      <c r="D44" s="65"/>
      <c r="H44" s="18"/>
    </row>
    <row r="45" spans="1:11" x14ac:dyDescent="0.3">
      <c r="B45" s="71" t="s">
        <v>66</v>
      </c>
      <c r="C45" s="71"/>
      <c r="D45" s="74">
        <f>D41-C9</f>
        <v>114.91999999999996</v>
      </c>
      <c r="E45" s="72"/>
      <c r="F45" s="72"/>
      <c r="G45" s="72"/>
      <c r="H45" s="69"/>
    </row>
    <row r="46" spans="1:11" x14ac:dyDescent="0.3">
      <c r="B46" s="71" t="s">
        <v>70</v>
      </c>
      <c r="C46" s="71"/>
      <c r="D46" s="74">
        <f>-C13-C12</f>
        <v>-18.12</v>
      </c>
      <c r="E46" s="72"/>
      <c r="F46" s="72"/>
      <c r="G46" s="72"/>
    </row>
    <row r="47" spans="1:11" x14ac:dyDescent="0.3">
      <c r="B47" s="71"/>
      <c r="C47" s="71"/>
      <c r="D47" s="75">
        <f>SUM(D45:D46)</f>
        <v>96.799999999999955</v>
      </c>
      <c r="E47" s="72"/>
      <c r="F47" s="72"/>
      <c r="G47" s="72"/>
    </row>
    <row r="48" spans="1:11" x14ac:dyDescent="0.3">
      <c r="B48" s="71" t="s">
        <v>67</v>
      </c>
      <c r="C48" s="76">
        <v>0.92500000000000004</v>
      </c>
      <c r="D48" s="74">
        <f>C48*D47</f>
        <v>89.539999999999964</v>
      </c>
      <c r="E48" s="73">
        <f>D48/D45</f>
        <v>0.77915071353985377</v>
      </c>
      <c r="F48" s="72"/>
      <c r="G48" s="72"/>
      <c r="H48" s="18"/>
    </row>
    <row r="49" spans="2:7" x14ac:dyDescent="0.3">
      <c r="B49" s="71" t="s">
        <v>68</v>
      </c>
      <c r="C49" s="71"/>
      <c r="D49" s="74">
        <f>D45-D48</f>
        <v>25.379999999999995</v>
      </c>
      <c r="E49" s="73">
        <f>D49/D45</f>
        <v>0.22084928646014623</v>
      </c>
      <c r="F49" s="72"/>
      <c r="G49" s="72"/>
    </row>
    <row r="50" spans="2:7" x14ac:dyDescent="0.3">
      <c r="B50" s="71"/>
      <c r="C50" s="71"/>
      <c r="D50" s="72"/>
      <c r="E50" s="72"/>
      <c r="F50" s="72"/>
      <c r="G50" s="72"/>
    </row>
    <row r="51" spans="2:7" ht="15.6" x14ac:dyDescent="0.3">
      <c r="B51" s="71" t="s">
        <v>69</v>
      </c>
      <c r="C51" s="76">
        <v>7.4999999999999997E-2</v>
      </c>
      <c r="D51" s="74">
        <f>C51*D47</f>
        <v>7.2599999999999962</v>
      </c>
      <c r="E51" s="72" t="s">
        <v>71</v>
      </c>
      <c r="F51"/>
      <c r="G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Brendan 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Costelloe</dc:creator>
  <cp:lastModifiedBy>Windows 11</cp:lastModifiedBy>
  <dcterms:created xsi:type="dcterms:W3CDTF">2021-02-15T15:52:27Z</dcterms:created>
  <dcterms:modified xsi:type="dcterms:W3CDTF">2022-07-05T09:46:58Z</dcterms:modified>
</cp:coreProperties>
</file>